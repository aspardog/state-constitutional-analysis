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First" sheetId="1" state="visible" r:id="rId3"/>
    <sheet name="Executive Summary" sheetId="2" state="visible" r:id="rId4"/>
    <sheet name="FF — Comparative" sheetId="3" state="visible" r:id="rId5"/>
    <sheet name="CB — Comparative" sheetId="4" state="visible" r:id="rId6"/>
    <sheet name="DP — Comparative" sheetId="5" state="visible" r:id="rId7"/>
    <sheet name="Tidy Data" sheetId="6" state="visible" r:id="rId8"/>
    <sheet name="Sources" sheetId="7" state="visible" r:id="rId9"/>
  </sheets>
  <definedNames>
    <definedName function="false" hidden="true" localSheetId="5" name="_xlnm._FilterDatabase" vbProcedure="false">'Tidy Data'!$A$4:$I$92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<sst xmlns="http://schemas.openxmlformats.org/spreadsheetml/2006/main" count="1130" uniqueCount="334">
  <si>
    <t xml:space="preserve">State Constitutional Analysis</t>
  </si>
  <si>
    <t xml:space="preserve">De jure comparison of South Carolina, Tennessee, Texas, and Utah — Hybrid Tidy + Presentation (Option C)</t>
  </si>
  <si>
    <t xml:space="preserve">Version: Draft 1.0 — May 2026</t>
  </si>
  <si>
    <t xml:space="preserve">Purpose</t>
  </si>
  <si>
    <t xml:space="preserve">This workbook contains a de jure comparative analysis of the state constitutions of South Carolina, Tennessee, Texas, and Utah, with the goal of supporting selection of a pilot state for a study on Fundamental Freedoms, Checks and Balances, and Democratic Protections.</t>
  </si>
  <si>
    <t xml:space="preserve">Scope and limitations</t>
  </si>
  <si>
    <t xml:space="preserve">This is a TEXTUAL analysis (de jure). It does NOT capture: (a) judicial interpretation of constitutional clauses, (b) statutory implementation, (c) enforcement practice, or (d) political dynamics. A clause present in the text may be unenforceable (e.g., religious tests for office under Torcaso v. Watkins) or interpreted in ways that diverge from its plain reading.</t>
  </si>
  <si>
    <t xml:space="preserve">Dimensions</t>
  </si>
  <si>
    <t xml:space="preserve">Three dimensions are assessed: (1) Fundamental Freedoms — individual rights and protections; (2) Checks and Balances — institutional accountability among branches; (3) Democratic Protections — popular sovereignty mechanisms and electoral rights.</t>
  </si>
  <si>
    <t xml:space="preserve">Scoring system</t>
  </si>
  <si>
    <t xml:space="preserve">Each indicator is scored 0–3 on an ordinal scale where HIGHER = stronger democratic protection, more robust check, or more inclusive freedom. The direction is explicitly defined per indicator in the 'Scoring guidance' field. Use this as a starting point for discussion, not as a final ranking.</t>
  </si>
  <si>
    <t xml:space="preserve">Score interpretation</t>
  </si>
  <si>
    <t xml:space="preserve">0 = Absent, regressive, or strongly weakening provision. 1 = Weak or partially compromised provision. 2 = Moderate or standard provision. 3 = Strong or expansive provision.</t>
  </si>
  <si>
    <t xml:space="preserve">Methodological caveat</t>
  </si>
  <si>
    <t xml:space="preserve">Aggregate scores by dimension are simple sums and treat all indicators as equally weighted. This is a deliberate simplification; weighted scoring would require explicit value choices about which protections matter most. Reviewers are encouraged to recompute aggregates using their preferred weights.</t>
  </si>
  <si>
    <t xml:space="preserve">Sources</t>
  </si>
  <si>
    <t xml:space="preserve">Primary: 50constitutions.org (State Democracy Research Initiative, UW Law School), Ballotpedia, state Justia compilations, state legislative websites. Secondary: Brennan Center, State Court Report, The Sentencing Project, and other comparative analyses cited in the Sources sheet.</t>
  </si>
  <si>
    <t xml:space="preserve">Citation</t>
  </si>
  <si>
    <t xml:space="preserve">If used in published work, cite as: [Your Project Name]. (2026). State Constitutional Analysis: De Jure Comparative of SC/TN/TX/UT. Internal working document.</t>
  </si>
  <si>
    <t xml:space="preserve">Executive Summary — Aggregate Scores by Dimension</t>
  </si>
  <si>
    <t xml:space="preserve">Each cell shows the SUM of indicator scores within that dimension for that state. Maximum possible scores: FF=21, CB=24, DP=21, Total=66. Higher = stronger democratic profile on this dimension (per the scoring direction defined per indicator).</t>
  </si>
  <si>
    <t xml:space="preserve">Dimension</t>
  </si>
  <si>
    <t xml:space="preserve">SC</t>
  </si>
  <si>
    <t xml:space="preserve">TN</t>
  </si>
  <si>
    <t xml:space="preserve">TX</t>
  </si>
  <si>
    <t xml:space="preserve">UT</t>
  </si>
  <si>
    <t xml:space="preserve">Max possible</t>
  </si>
  <si>
    <t xml:space="preserve">Fundamental Freedoms</t>
  </si>
  <si>
    <t xml:space="preserve">Checks and Balances</t>
  </si>
  <si>
    <t xml:space="preserve">Democratic Protections</t>
  </si>
  <si>
    <t xml:space="preserve">TOTAL (de jure profile)</t>
  </si>
  <si>
    <t xml:space="preserve">How to read this dashboard</t>
  </si>
  <si>
    <t xml:space="preserve">Aggregate scores are SUMS of indicator scores, with all indicators equally weighted. This produces a comparable 'de jure profile' but should not be over-interpreted: (1) some indicators are more consequential than others, (2) constitutional text does not capture practice, and (3) a low score is not necessarily 'bad' for pilot selection — high contrast between states is often more valuable than a single winner. See the per-dimension sheets for indicator-level detail and the per-state profiles (if present) for narrative context.</t>
  </si>
  <si>
    <t xml:space="preserve">Fundamental Freedoms — De jure comparative</t>
  </si>
  <si>
    <t xml:space="preserve">ID</t>
  </si>
  <si>
    <t xml:space="preserve">Indicator</t>
  </si>
  <si>
    <t xml:space="preserve">Question</t>
  </si>
  <si>
    <t xml:space="preserve">Scoring guidance</t>
  </si>
  <si>
    <t xml:space="preserve">FF01</t>
  </si>
  <si>
    <t xml:space="preserve">Rights placement and structural prominence</t>
  </si>
  <si>
    <t xml:space="preserve">Where in the constitution is the Declaration of Rights located, and how prominently?</t>
  </si>
  <si>
    <t xml:space="preserve">0=Absent or buried; 1=Present but late; 2=Article I, basic; 3=Article I, comprehensive, before government structure</t>
  </si>
  <si>
    <t xml:space="preserve">Constitutional reference:</t>
  </si>
  <si>
    <t xml:space="preserve">Article I (24 sec.)</t>
  </si>
  <si>
    <t xml:space="preserve">Article I (36 sec.)</t>
  </si>
  <si>
    <t xml:space="preserve">Article 1 (34 sec.)</t>
  </si>
  <si>
    <t xml:space="preserve">Article I</t>
  </si>
  <si>
    <t xml:space="preserve">Notes:</t>
  </si>
  <si>
    <t xml:space="preserve">Declaration of Rights at Article I, comprehensively reformed in 1971.</t>
  </si>
  <si>
    <t xml:space="preserve">Rights enumerated in Article I BEFORE Article II on distribution of powers; explicitly individualist tradition.</t>
  </si>
  <si>
    <t xml:space="preserve">Every provision of federal Bill of Rights has a counterpart; placed at front of constitution.</t>
  </si>
  <si>
    <t xml:space="preserve">Original 1895 Declaration of Rights largely intact while rest of constitution heavily revised.</t>
  </si>
  <si>
    <t xml:space="preserve">FF02</t>
  </si>
  <si>
    <t xml:space="preserve">Equal protection / non-discrimination clause</t>
  </si>
  <si>
    <t xml:space="preserve">Does the constitution have an explicit equal protection or non-discrimination clause?</t>
  </si>
  <si>
    <t xml:space="preserve">0=None; 1=General reference; 2=Explicit clause similar to 14th Amendment; 3=Explicit + enumerated protected categories (gender, race, etc.)</t>
  </si>
  <si>
    <t xml:space="preserve">Article I §3</t>
  </si>
  <si>
    <t xml:space="preserve">Article I §8 + Article XI §8</t>
  </si>
  <si>
    <t xml:space="preserve">Article 1 §3, §3a</t>
  </si>
  <si>
    <t xml:space="preserve">Article I §24</t>
  </si>
  <si>
    <t xml:space="preserve">Explicit due process and equal protection clause; no enumerated categories.</t>
  </si>
  <si>
    <t xml:space="preserve">Equal protection via class legislation prohibition; interpreted as duplicative of federal 14th Amendment.</t>
  </si>
  <si>
    <t xml:space="preserve">Equal rights clause + Equal Rights Amendment (1972) prohibiting discrimination by sex, race, color, creed, national origin.</t>
  </si>
  <si>
    <t xml:space="preserve">Uniform operation of laws clause; courts have interpreted it as functional equal protection.</t>
  </si>
  <si>
    <t xml:space="preserve">FF03</t>
  </si>
  <si>
    <t xml:space="preserve">Privacy right (explicit or interpretively recognized)</t>
  </si>
  <si>
    <t xml:space="preserve">Does the constitution recognize a right to privacy, explicitly or via interpretation?</t>
  </si>
  <si>
    <t xml:space="preserve">0=No recognition; 1=Implicit via due process only; 2=Implicit, broadly interpreted by courts; 3=Explicit textual right to privacy</t>
  </si>
  <si>
    <t xml:space="preserve">Article I §10</t>
  </si>
  <si>
    <t xml:space="preserve">Article I §7, §8</t>
  </si>
  <si>
    <t xml:space="preserve">Article 1 §9</t>
  </si>
  <si>
    <t xml:space="preserve">Article I §14</t>
  </si>
  <si>
    <t xml:space="preserve">No explicit privacy clause; protections derived from search and seizure provisions only.</t>
  </si>
  <si>
    <t xml:space="preserve">TN Supreme Court historically read broad privacy into Section 8; narrowed by 2014 §36 amendment carving out abortion.</t>
  </si>
  <si>
    <t xml:space="preserve">No explicit privacy right; derived from search and seizure and due course of law provisions.</t>
  </si>
  <si>
    <t xml:space="preserve">No explicit privacy right; derived from search and seizure protections.</t>
  </si>
  <si>
    <t xml:space="preserve">FF04</t>
  </si>
  <si>
    <t xml:space="preserve">Religious freedom and church-state separation</t>
  </si>
  <si>
    <t xml:space="preserve">How strong is the religious freedom guarantee and church-state separation?</t>
  </si>
  <si>
    <t xml:space="preserve">0=State religion specified; 1=Freedom + qualifiers; 2=Freedom + secular framing; 3=Freedom + explicit separation, no exclusionary clauses</t>
  </si>
  <si>
    <t xml:space="preserve">Article I §2</t>
  </si>
  <si>
    <t xml:space="preserve">Article I §3 + Article IX §1, §2</t>
  </si>
  <si>
    <t xml:space="preserve">Article 1 §4, §6, §7</t>
  </si>
  <si>
    <t xml:space="preserve">Article I §4</t>
  </si>
  <si>
    <t xml:space="preserve">Religious freedom guaranteed; no state religion; some historical exclusionary clauses cleaned up.</t>
  </si>
  <si>
    <t xml:space="preserve">Strong freedom clause BUT Article IX disqualifies clergy from legislature and atheists from any state office (textually present though unenforceable per Torcaso v. Watkins).</t>
  </si>
  <si>
    <t xml:space="preserve">Religious freedom guaranteed BUT §4 contains "provided he acknowledge the existence of a Supreme Being" qualifier (unenforceable but textually present).</t>
  </si>
  <si>
    <t xml:space="preserve">Strong religious freedom clause; explicit church-state separation; no exclusionary clauses despite religious founding context.</t>
  </si>
  <si>
    <t xml:space="preserve">FF05</t>
  </si>
  <si>
    <t xml:space="preserve">Religious test for public office (textual exclusion)</t>
  </si>
  <si>
    <t xml:space="preserve">Does the constitutional text contain any religious test or exclusion for public office?</t>
  </si>
  <si>
    <t xml:space="preserve">0=Active exclusion of non-believers in text; 1=Qualifier (e.g., must believe in Supreme Being); 2=Test prohibited but with caveats; 3=Clean prohibition, no exclusions</t>
  </si>
  <si>
    <t xml:space="preserve">Article VI</t>
  </si>
  <si>
    <t xml:space="preserve">Article IX §2</t>
  </si>
  <si>
    <t xml:space="preserve">Article 1 §4</t>
  </si>
  <si>
    <t xml:space="preserve">Religious test prohibited; some historical qualifiers reformed.</t>
  </si>
  <si>
    <t xml:space="preserve">"No person who denies the being of God, or a future state of rewards and punishments, shall hold any office in the civil department of this State." Unenforceable but text remains.</t>
  </si>
  <si>
    <t xml:space="preserve">"No religious test shall ever be required... provided he acknowledge the existence of a Supreme Being." Unenforceable but text remains.</t>
  </si>
  <si>
    <t xml:space="preserve">Clean prohibition on religious tests; no exclusionary text.</t>
  </si>
  <si>
    <t xml:space="preserve">FF06</t>
  </si>
  <si>
    <t xml:space="preserve">Right to bail and pre-trial release</t>
  </si>
  <si>
    <t xml:space="preserve">How robust is the right to bail / pre-trial release in the constitutional text?</t>
  </si>
  <si>
    <t xml:space="preserve">0=No right or extensive exceptions; 1=Right with progressive textual erosion; 2=Right with standard exceptions (capital cases); 3=Strong right, narrow exceptions only</t>
  </si>
  <si>
    <t xml:space="preserve">Article I §15</t>
  </si>
  <si>
    <t xml:space="preserve">Article 1 §11</t>
  </si>
  <si>
    <t xml:space="preserve">Article I §8</t>
  </si>
  <si>
    <t xml:space="preserve">Bail right with denial for capital offenses and certain violent offenses.</t>
  </si>
  <si>
    <t xml:space="preserve">"All prisoners shall be bailable by sufficient sureties, unless for capital offences when the proof is evident, or the presumption great." TN SC has interpreted bail as mandatory except in capital cases.</t>
  </si>
  <si>
    <t xml:space="preserve">Bail right amended five times between 1956 and 2024, each time expanding circumstances for denial. Pattern of textual erosion.</t>
  </si>
  <si>
    <t xml:space="preserve">Bail right with standard exceptions for capital cases and certain violent offenses.</t>
  </si>
  <si>
    <t xml:space="preserve">FF07</t>
  </si>
  <si>
    <t xml:space="preserve">Constitutional treatment of abortion / reproductive rights</t>
  </si>
  <si>
    <t xml:space="preserve">Does the constitution explicitly address (protect, exclude, or remain silent on) reproductive rights?</t>
  </si>
  <si>
    <t xml:space="preserve">0=Explicitly excluded as a right; 1=Silent and narrowly interpreted; 2=Silent but not foreclosed; 3=Explicitly protected</t>
  </si>
  <si>
    <t xml:space="preserve">No specific provision</t>
  </si>
  <si>
    <t xml:space="preserve">Article I §36 (2014)</t>
  </si>
  <si>
    <t xml:space="preserve">Constitution silent; subject to legislation and litigation.</t>
  </si>
  <si>
    <t xml:space="preserve">"Nothing in this Constitution secures or protects a right to abortion or requires the funding of an abortion." Explicit textual subtraction.</t>
  </si>
  <si>
    <t xml:space="preserve">Constitution silent; statutory ban in place, no constitutional carve-out yet.</t>
  </si>
  <si>
    <t xml:space="preserve">Constitution silent; statutory framework in litigation.</t>
  </si>
  <si>
    <t xml:space="preserve">Aggregate FF score (sum)</t>
  </si>
  <si>
    <t xml:space="preserve">Max possible: 21</t>
  </si>
  <si>
    <t xml:space="preserve">Checks and Balances — De jure comparative</t>
  </si>
  <si>
    <t xml:space="preserve">CB01</t>
  </si>
  <si>
    <t xml:space="preserve">Plural executive (independently elected statewide officials)</t>
  </si>
  <si>
    <t xml:space="preserve">How many statewide executive officials are independently elected (not appointed by Governor)?</t>
  </si>
  <si>
    <t xml:space="preserve">0=Single executive (only Gov); 1=2-3 officials; 2=4-5 officials; 3=6+ officials (fragmented executive)</t>
  </si>
  <si>
    <t xml:space="preserve">Article III, VII</t>
  </si>
  <si>
    <t xml:space="preserve">Article 4</t>
  </si>
  <si>
    <t xml:space="preserve">Article VII §1</t>
  </si>
  <si>
    <t xml:space="preserve">9 independently elected: Governor, Lt Gov (joint ticket since 2018), Sec State, AG, Treasurer, Comptroller General, Adjutant General, Superintendent of Education, Commissioner of Agriculture.</t>
  </si>
  <si>
    <t xml:space="preserve">Only Governor popularly elected statewide; Sec State, Treasurer, Comptroller elected by General Assembly. Lt Gov role filled by Senate Speaker.</t>
  </si>
  <si>
    <t xml:space="preserve">6+ independently elected: Governor, Lt Gov, AG, Comptroller, Land Commissioner, Agriculture Commissioner, Railroad Commission (3); only Sec State appointed by Governor.</t>
  </si>
  <si>
    <t xml:space="preserve">5 elected officials: Governor + Lt Gov (joint ticket), AG, State Auditor, State Treasurer.</t>
  </si>
  <si>
    <t xml:space="preserve">CB02</t>
  </si>
  <si>
    <t xml:space="preserve">Attorney General independence from Governor</t>
  </si>
  <si>
    <t xml:space="preserve">How is the state Attorney General selected, and how independent from the Governor?</t>
  </si>
  <si>
    <t xml:space="preserve">0=Appointed by Governor; 1=Appointed by legislature; 2=Appointed by judiciary (unique case); 3=Independently elected by voters</t>
  </si>
  <si>
    <t xml:space="preserve">Article VI §7</t>
  </si>
  <si>
    <t xml:space="preserve">Article VI §5</t>
  </si>
  <si>
    <t xml:space="preserve">Article 4 §22</t>
  </si>
  <si>
    <t xml:space="preserve">Article VII §1, §16</t>
  </si>
  <si>
    <t xml:space="preserve">AG independently elected statewide.</t>
  </si>
  <si>
    <t xml:space="preserve">AG appointed by Tennessee Supreme Court for 8-year term. UNIQUE in the US: AG is an officer of the judicial branch, not the executive. Independent from Governor but captured by Supreme Court.</t>
  </si>
  <si>
    <t xml:space="preserve">CB03</t>
  </si>
  <si>
    <t xml:space="preserve">Judicial selection method (high court)</t>
  </si>
  <si>
    <t xml:space="preserve">How are state supreme court justices selected?</t>
  </si>
  <si>
    <t xml:space="preserve">0=Legislative appointment (captured by legislature); 1=Partisan elections (politicized); 2=Gubernatorial appointment alone; 3=Merit selection commission + retention (insulated)</t>
  </si>
  <si>
    <t xml:space="preserve">Article V §3</t>
  </si>
  <si>
    <t xml:space="preserve">Article VI §3 + 2014 Amendment 2</t>
  </si>
  <si>
    <t xml:space="preserve">Article 5 §2</t>
  </si>
  <si>
    <t xml:space="preserve">Article VIII §8</t>
  </si>
  <si>
    <t xml:space="preserve">Justices elected by General Assembly (legislature). Only SC and VA use this method. Until 2000, all justices were former General Assembly members.</t>
  </si>
  <si>
    <t xml:space="preserve">Tennessee Plan: nominating commission + gubernatorial appointment + legislative confirmation + retention elections.</t>
  </si>
  <si>
    <t xml:space="preserve">Partisan elections for supreme court justices. Highly politicized.</t>
  </si>
  <si>
    <t xml:space="preserve">Judicial nominating commission + gubernatorial appointment + Senate confirmation + retention elections.</t>
  </si>
  <si>
    <t xml:space="preserve">CB04</t>
  </si>
  <si>
    <t xml:space="preserve">Judicial independence from legislative branch</t>
  </si>
  <si>
    <t xml:space="preserve">Does the legislative branch dominate judicial selection or judicial discipline?</t>
  </si>
  <si>
    <t xml:space="preserve">0=Legislature controls selection and discipline; 1=Legislature confirms appointees; 2=Limited legislative role; 3=No legislative role in selection or discipline</t>
  </si>
  <si>
    <t xml:space="preserve">Article V §3, §13</t>
  </si>
  <si>
    <t xml:space="preserve">Article 5</t>
  </si>
  <si>
    <t xml:space="preserve">JMSC is dominated by legislators; legislators have appointed family members. Most justices historically were former legislators.</t>
  </si>
  <si>
    <t xml:space="preserve">Legislature confirms gubernatorial appointees (post-2014); does not select directly.</t>
  </si>
  <si>
    <t xml:space="preserve">No legislative role in initial selection; voters decide directly.</t>
  </si>
  <si>
    <t xml:space="preserve">Senate confirmation required but selection through commission process.</t>
  </si>
  <si>
    <t xml:space="preserve">CB05</t>
  </si>
  <si>
    <t xml:space="preserve">Lieutenant Governor power and accountability</t>
  </si>
  <si>
    <t xml:space="preserve">How is the Lt Governor selected and how much power does the office concentrate?</t>
  </si>
  <si>
    <t xml:space="preserve">0=Lt Gov is Senate Speaker (fusion of powers) OR independently elected with major leg/exec powers; 1=Independently elected, modest role; 2=Joint ticket, ceremonial role; 3=Joint ticket, modest succession-only role</t>
  </si>
  <si>
    <t xml:space="preserve">Article IV §8</t>
  </si>
  <si>
    <t xml:space="preserve">Article II + Article III</t>
  </si>
  <si>
    <t xml:space="preserve">Article 4 §16-17</t>
  </si>
  <si>
    <t xml:space="preserve">Article VII §1, §2</t>
  </si>
  <si>
    <t xml:space="preserve">Lt Gov elected on joint ticket with Governor since 2018; ceremonial role.</t>
  </si>
  <si>
    <t xml:space="preserve">No separate Lt Gov office; Speaker of Senate serves in that role. Fusion of executive succession with legislative leadership.</t>
  </si>
  <si>
    <t xml:space="preserve">Lt Gov independently elected; presides over Senate as day-to-day leader (not ceremonial), chairs Legislative Budget Board, sits on Legislative Redistricting Board. Concentrates extraordinary cross-branch power.</t>
  </si>
  <si>
    <t xml:space="preserve">Lt Gov elected on joint ticket with Governor; modest role primarily focused on elections administration.</t>
  </si>
  <si>
    <t xml:space="preserve">CB06</t>
  </si>
  <si>
    <t xml:space="preserve">Veto override threshold</t>
  </si>
  <si>
    <t xml:space="preserve">What legislative threshold is required to override a gubernatorial veto?</t>
  </si>
  <si>
    <t xml:space="preserve">0=Simple majority (weak veto); 1=3/5 majority; 2=2/3 majority (standard); 3=3/4 or higher</t>
  </si>
  <si>
    <t xml:space="preserve">Article IV §21</t>
  </si>
  <si>
    <t xml:space="preserve">Article III §18</t>
  </si>
  <si>
    <t xml:space="preserve">Article 4 §14</t>
  </si>
  <si>
    <t xml:space="preserve">Article VII §8</t>
  </si>
  <si>
    <t xml:space="preserve">2/3 of each chamber required to override.</t>
  </si>
  <si>
    <t xml:space="preserve">Simple majority of all members elected to each house — SAME threshold as initial passage. Weakest gubernatorial veto in the four states.</t>
  </si>
  <si>
    <t xml:space="preserve">CB07</t>
  </si>
  <si>
    <t xml:space="preserve">Constitutional judicial conduct/discipline body</t>
  </si>
  <si>
    <t xml:space="preserve">Is there a constitutionally established body to discipline judges?</t>
  </si>
  <si>
    <t xml:space="preserve">0=No body or only legislative impeachment; 1=Statutory body only; 2=Constitutional body, limited powers; 3=Constitutional body, comprehensive powers</t>
  </si>
  <si>
    <t xml:space="preserve">Article V §13</t>
  </si>
  <si>
    <t xml:space="preserve">Statutory (Tenn. Code §17-5-101)</t>
  </si>
  <si>
    <t xml:space="preserve">Article 5 §1-a</t>
  </si>
  <si>
    <t xml:space="preserve">Article VIII §13</t>
  </si>
  <si>
    <t xml:space="preserve">Commission on Judicial Conduct exists but legislative dominance over judiciary creates structural tension.</t>
  </si>
  <si>
    <t xml:space="preserve">Board of Judicial Conduct exists by statute, not constitution.</t>
  </si>
  <si>
    <t xml:space="preserve">State Commission on Judicial Conduct established constitutionally; investigates and recommends discipline.</t>
  </si>
  <si>
    <t xml:space="preserve">Judicial Conduct Commission constitutionally established (1984); comprehensive powers including recommendation of removal to Supreme Court.</t>
  </si>
  <si>
    <t xml:space="preserve">CB08</t>
  </si>
  <si>
    <t xml:space="preserve">Single-subject rule for legislation</t>
  </si>
  <si>
    <t xml:space="preserve">Does the constitution require each law/amendment to address only a single subject?</t>
  </si>
  <si>
    <t xml:space="preserve">0=No rule; 1=Weak or narrowly applied; 2=Applies to legislation; 3=Applies to legislation AND constitutional amendments</t>
  </si>
  <si>
    <t xml:space="preserve">Article III §17</t>
  </si>
  <si>
    <t xml:space="preserve">Article II §17</t>
  </si>
  <si>
    <t xml:space="preserve">Article 3 §35</t>
  </si>
  <si>
    <t xml:space="preserve">Article VI §22</t>
  </si>
  <si>
    <t xml:space="preserve">"Every Act or resolution having the force of law shall relate to but one subject."</t>
  </si>
  <si>
    <t xml:space="preserve">Single-subject rule for legislation; enforcement variable.</t>
  </si>
  <si>
    <t xml:space="preserve">Single-subject rule; applies to bills.</t>
  </si>
  <si>
    <t xml:space="preserve">Single-subject rule for legislation.</t>
  </si>
  <si>
    <t xml:space="preserve">Aggregate CB score (sum)</t>
  </si>
  <si>
    <t xml:space="preserve">Max possible: 24</t>
  </si>
  <si>
    <t xml:space="preserve">Democratic Protections — De jure comparative</t>
  </si>
  <si>
    <t xml:space="preserve">DP01</t>
  </si>
  <si>
    <t xml:space="preserve">Citizen initiative for statutes</t>
  </si>
  <si>
    <t xml:space="preserve">Can citizens propose statutes through signature petition (statutory initiative)?</t>
  </si>
  <si>
    <t xml:space="preserve">0=No; 1=Yes, but high signature threshold or restrictions; 2=Yes, moderate threshold; 3=Yes, accessible threshold</t>
  </si>
  <si>
    <t xml:space="preserve">Not provided</t>
  </si>
  <si>
    <t xml:space="preserve">Article VI §1</t>
  </si>
  <si>
    <t xml:space="preserve">No statewide initiative process.</t>
  </si>
  <si>
    <t xml:space="preserve">No statewide initiative process. Voters rejected initiative in 1914; no successful adoption since.</t>
  </si>
  <si>
    <t xml:space="preserve">Direct citizen initiative for statutes since 1900. Legislature retains amendment power, but constrained by 2024 SC ruling on "alter or reform" right.</t>
  </si>
  <si>
    <t xml:space="preserve">DP02</t>
  </si>
  <si>
    <t xml:space="preserve">Citizen initiative for constitutional amendments</t>
  </si>
  <si>
    <t xml:space="preserve">Can citizens propose constitutional amendments directly?</t>
  </si>
  <si>
    <t xml:space="preserve">0=No; 1=Yes, with high threshold; 2=Yes, moderate; 3=Yes, accessible</t>
  </si>
  <si>
    <t xml:space="preserve">Article XVI</t>
  </si>
  <si>
    <t xml:space="preserve">Article XI §3</t>
  </si>
  <si>
    <t xml:space="preserve">Article 17</t>
  </si>
  <si>
    <t xml:space="preserve">Article XXIII</t>
  </si>
  <si>
    <t xml:space="preserve">No citizen-initiated constitutional amendments.</t>
  </si>
  <si>
    <t xml:space="preserve">No citizen-initiated amendments. Only legislative referral.</t>
  </si>
  <si>
    <t xml:space="preserve">Citizen initiative applies to statutes only, NOT constitutional amendments.</t>
  </si>
  <si>
    <t xml:space="preserve">DP03</t>
  </si>
  <si>
    <t xml:space="preserve">Veto referendum (citizen check on legislation)</t>
  </si>
  <si>
    <t xml:space="preserve">Can citizens petition to suspend/repeal legislative acts via referendum?</t>
  </si>
  <si>
    <t xml:space="preserve">Article VI §1(2)</t>
  </si>
  <si>
    <t xml:space="preserve">No veto referendum process.</t>
  </si>
  <si>
    <t xml:space="preserve">Veto referendum available. Signature gathering period extended to 60 days in 2024.</t>
  </si>
  <si>
    <t xml:space="preserve">DP04</t>
  </si>
  <si>
    <t xml:space="preserve">Recall of statewide elected officials</t>
  </si>
  <si>
    <t xml:space="preserve">Can voters recall statewide elected officials via petition?</t>
  </si>
  <si>
    <t xml:space="preserve">0=No; 1=Local only; 2=Limited statewide; 3=Full statewide recall</t>
  </si>
  <si>
    <t xml:space="preserve">Statutory, local only</t>
  </si>
  <si>
    <t xml:space="preserve">Local charters</t>
  </si>
  <si>
    <t xml:space="preserve">No statewide recall mechanism.</t>
  </si>
  <si>
    <t xml:space="preserve">Recall available for local officials only; not for state officials.</t>
  </si>
  <si>
    <t xml:space="preserve">No statewide recall; some home-rule cities have recall.</t>
  </si>
  <si>
    <t xml:space="preserve">DP05</t>
  </si>
  <si>
    <t xml:space="preserve">Constitutional amendment legislative threshold</t>
  </si>
  <si>
    <t xml:space="preserve">How strict is the legislative threshold to refer constitutional amendments?</t>
  </si>
  <si>
    <t xml:space="preserve">Note: higher rigidity entrenches existing text (rights or restrictions). 0=Simple majority; 1=3/5; 2=2/3 single session; 3=2/3 across two sessions or higher bar</t>
  </si>
  <si>
    <t xml:space="preserve">Article XVI §1</t>
  </si>
  <si>
    <t xml:space="preserve">Article 17 §1</t>
  </si>
  <si>
    <t xml:space="preserve">Article XXIII §1</t>
  </si>
  <si>
    <t xml:space="preserve">2/3 of each chamber required, single session.</t>
  </si>
  <si>
    <t xml:space="preserve">Two consecutive legislative sessions: simple majority first, 2/3 second. Most rigid of the four.</t>
  </si>
  <si>
    <t xml:space="preserve">DP06</t>
  </si>
  <si>
    <t xml:space="preserve">Constitutional amendment popular ratification threshold</t>
  </si>
  <si>
    <t xml:space="preserve">What popular threshold is required to ratify a constitutional amendment?</t>
  </si>
  <si>
    <t xml:space="preserve">0=No popular vote required; 1=Simple majority of votes on amendment; 2=Majority of votes cast in election; 3=Majority of votes for top-of-ticket (very strict denominator)</t>
  </si>
  <si>
    <t xml:space="preserve">Simple majority of votes on the amendment.</t>
  </si>
  <si>
    <t xml:space="preserve">Majority of all citizens voting for governor — strictest denominator among the four. Includes those who voted for governor but not on amendment.</t>
  </si>
  <si>
    <t xml:space="preserve">DP07</t>
  </si>
  <si>
    <t xml:space="preserve">Felony disenfranchisement strictness</t>
  </si>
  <si>
    <t xml:space="preserve">How restrictively does the state disenfranchise people with felony convictions?</t>
  </si>
  <si>
    <t xml:space="preserve">0=Lifetime ban for any felony; 1=Until completion of sentence including parole/probation (and beyond); 2=Until completion of incarceration + parole/probation; 3=Only during incarceration</t>
  </si>
  <si>
    <t xml:space="preserve">Article II §7</t>
  </si>
  <si>
    <t xml:space="preserve">Article I §5; statutory</t>
  </si>
  <si>
    <t xml:space="preserve">Article 6 §1; statutory</t>
  </si>
  <si>
    <t xml:space="preserve">Article IV §6</t>
  </si>
  <si>
    <t xml:space="preserve">Disenfranchisement until completion of incarceration, parole, AND probation.</t>
  </si>
  <si>
    <t xml:space="preserve">Among strictest in US. Disenfranchises permanently for certain pre-1973 offenses; complex restoration process for post-1981 felonies. Disenfranchisement rates among highest nationally.</t>
  </si>
  <si>
    <t xml:space="preserve">Disenfranchisement until completion of incarceration, parole, AND probation; rights restored automatically thereafter.</t>
  </si>
  <si>
    <t xml:space="preserve">Disenfranchisement only during incarceration; restoration automatic upon release. Among least restrictive in US.</t>
  </si>
  <si>
    <t xml:space="preserve">Aggregate DP score (sum)</t>
  </si>
  <si>
    <t xml:space="preserve">Tidy Data — Long format (one row per indicator × state)</t>
  </si>
  <si>
    <t xml:space="preserve">This sheet is structured for analytical use (pivot tables, R/Python imports, regression of scores, etc.). Each row is a unique (indicator, state) observation.</t>
  </si>
  <si>
    <t xml:space="preserve">indicator_id</t>
  </si>
  <si>
    <t xml:space="preserve">dimension</t>
  </si>
  <si>
    <t xml:space="preserve">indicator</t>
  </si>
  <si>
    <t xml:space="preserve">state_code</t>
  </si>
  <si>
    <t xml:space="preserve">state_name</t>
  </si>
  <si>
    <t xml:space="preserve">score</t>
  </si>
  <si>
    <t xml:space="preserve">constitutional_ref</t>
  </si>
  <si>
    <t xml:space="preserve">note</t>
  </si>
  <si>
    <t xml:space="preserve">scoring_guidance</t>
  </si>
  <si>
    <t xml:space="preserve">South Carolina</t>
  </si>
  <si>
    <t xml:space="preserve">Tennessee</t>
  </si>
  <si>
    <t xml:space="preserve">Texas</t>
  </si>
  <si>
    <t xml:space="preserve">Utah</t>
  </si>
  <si>
    <t xml:space="preserve">Sources and References</t>
  </si>
  <si>
    <t xml:space="preserve">#</t>
  </si>
  <si>
    <t xml:space="preserve">Source</t>
  </si>
  <si>
    <t xml:space="preserve">Publisher / Author</t>
  </si>
  <si>
    <t xml:space="preserve">URL</t>
  </si>
  <si>
    <t xml:space="preserve">50 Constitutions</t>
  </si>
  <si>
    <t xml:space="preserve">State Democracy Research Initiative, University of Wisconsin Law School</t>
  </si>
  <si>
    <t xml:space="preserve">https://50constitutions.org/</t>
  </si>
  <si>
    <t xml:space="preserve">South Carolina Constitution</t>
  </si>
  <si>
    <t xml:space="preserve">South Carolina Legislature</t>
  </si>
  <si>
    <t xml:space="preserve">https://www.scstatehouse.gov/scconstitution/scconst.php</t>
  </si>
  <si>
    <t xml:space="preserve">Tennessee Constitution</t>
  </si>
  <si>
    <t xml:space="preserve">Tennessee Secretary of State</t>
  </si>
  <si>
    <t xml:space="preserve">https://publications.tnsosfiles.com/pub/2023%20TN%20Constitution.pdf</t>
  </si>
  <si>
    <t xml:space="preserve">Texas Constitution</t>
  </si>
  <si>
    <t xml:space="preserve">Texas Legislature Online</t>
  </si>
  <si>
    <t xml:space="preserve">https://statutes.capitol.texas.gov/?link=CN</t>
  </si>
  <si>
    <t xml:space="preserve">Utah Constitution</t>
  </si>
  <si>
    <t xml:space="preserve">Utah State Legislature</t>
  </si>
  <si>
    <t xml:space="preserve">https://le.utah.gov/xcode/constitution.html</t>
  </si>
  <si>
    <t xml:space="preserve">Ballotpedia state constitution pages</t>
  </si>
  <si>
    <t xml:space="preserve">Ballotpedia</t>
  </si>
  <si>
    <t xml:space="preserve">https://ballotpedia.org/</t>
  </si>
  <si>
    <t xml:space="preserve">Legislative Appointments for Judges</t>
  </si>
  <si>
    <t xml:space="preserve">Brennan Center for Justice (2017)</t>
  </si>
  <si>
    <t xml:space="preserve">https://www.brennancenter.org/our-work/research-reports/legislative-appointments-judges-lessons-south-carolina-virginia-and-rhode</t>
  </si>
  <si>
    <t xml:space="preserve">Tennessee Supreme Court appoints AG</t>
  </si>
  <si>
    <t xml:space="preserve">Tennessee Administrative Office of the Courts</t>
  </si>
  <si>
    <t xml:space="preserve">https://www.tncourts.gov/</t>
  </si>
  <si>
    <t xml:space="preserve">Expanding the Vote: State Felony Disenfranchisement Reform</t>
  </si>
  <si>
    <t xml:space="preserve">The Sentencing Project (2023)</t>
  </si>
  <si>
    <t xml:space="preserve">https://www.sentencingproject.org/reports/expanding-the-vote-state-felony-disenfranchisement-reform-1997-2023/</t>
  </si>
  <si>
    <t xml:space="preserve">The Utah Constitution Is 'Distinctively Undistinctive'</t>
  </si>
  <si>
    <t xml:space="preserve">State Court Report (2025)</t>
  </si>
  <si>
    <t xml:space="preserve">https://statecourtreport.org/our-work/analysis-opinion/utah-constitution-distinctively-undistinctive</t>
  </si>
  <si>
    <t xml:space="preserve">The Tennessee Constitution</t>
  </si>
  <si>
    <t xml:space="preserve">State Court Report (2026)</t>
  </si>
  <si>
    <t xml:space="preserve">https://statecourtreport.org/our-work/analysis-opinion/tennessee-constitution-least-imperfect-and-most-republican-state</t>
  </si>
  <si>
    <t xml:space="preserve">Comparative Constitutions Project (CCP) Codebook v4.0</t>
  </si>
  <si>
    <t xml:space="preserve">Elkins, Z. &amp; Ginsburg, T. (2022)</t>
  </si>
  <si>
    <t xml:space="preserve">https://comparativeconstitutionsproject.org/</t>
  </si>
</sst>
</file>

<file path=xl/styles.xml><?xml version="1.0" encoding="utf-8"?>
<styleSheet xmlns="http://schemas.openxmlformats.org/spreadsheetml/2006/main">
  <numFmts count="2">
    <numFmt numFmtId="164" formatCode="General"/>
    <numFmt numFmtId="165" formatCode="General"/>
  </numFmts>
  <fonts count="26">
    <font>
      <sz val="11"/>
      <color theme="1"/>
      <name val="Calibri"/>
      <family val="2"/>
      <charset val="1"/>
    </font>
    <font>
      <sz val="10"/>
      <name val="Arial"/>
      <family val="0"/>
    </font>
    <font>
      <sz val="10"/>
      <name val="Arial"/>
      <family val="0"/>
    </font>
    <font>
      <sz val="10"/>
      <name val="Arial"/>
      <family val="0"/>
    </font>
    <font>
      <b val="true"/>
      <sz val="22"/>
      <color rgb="FF1F3864"/>
      <name val="Arial"/>
      <family val="0"/>
      <charset val="1"/>
    </font>
    <font>
      <i val="true"/>
      <sz val="12"/>
      <color rgb="FF555555"/>
      <name val="Arial"/>
      <family val="0"/>
      <charset val="1"/>
    </font>
    <font>
      <sz val="10"/>
      <color rgb="FF888888"/>
      <name val="Arial"/>
      <family val="0"/>
      <charset val="1"/>
    </font>
    <font>
      <b val="true"/>
      <sz val="11"/>
      <color rgb="FF1F3864"/>
      <name val="Arial"/>
      <family val="0"/>
      <charset val="1"/>
    </font>
    <font>
      <sz val="10"/>
      <name val="Arial"/>
      <family val="0"/>
      <charset val="1"/>
    </font>
    <font>
      <b val="true"/>
      <sz val="16"/>
      <color rgb="FF1F3864"/>
      <name val="Arial"/>
      <family val="0"/>
      <charset val="1"/>
    </font>
    <font>
      <i val="true"/>
      <sz val="10"/>
      <color rgb="FF555555"/>
      <name val="Arial"/>
      <family val="0"/>
      <charset val="1"/>
    </font>
    <font>
      <b val="true"/>
      <sz val="11"/>
      <color rgb="FFFFFFFF"/>
      <name val="Arial"/>
      <family val="0"/>
      <charset val="1"/>
    </font>
    <font>
      <b val="true"/>
      <sz val="11"/>
      <name val="Arial"/>
      <family val="0"/>
      <charset val="1"/>
    </font>
    <font>
      <b val="true"/>
      <sz val="12"/>
      <name val="Arial"/>
      <family val="0"/>
      <charset val="1"/>
    </font>
    <font>
      <b val="true"/>
      <sz val="13"/>
      <color rgb="FFFFFFFF"/>
      <name val="Arial"/>
      <family val="0"/>
      <charset val="1"/>
    </font>
    <font>
      <b val="true"/>
      <i val="true"/>
      <sz val="10"/>
      <color rgb="FFFFFFFF"/>
      <name val="Arial"/>
      <family val="0"/>
      <charset val="1"/>
    </font>
    <font>
      <b val="true"/>
      <sz val="14"/>
      <color rgb="FF1F3864"/>
      <name val="Arial"/>
      <family val="0"/>
      <charset val="1"/>
    </font>
    <font>
      <b val="true"/>
      <sz val="10"/>
      <name val="Arial"/>
      <family val="0"/>
      <charset val="1"/>
    </font>
    <font>
      <i val="true"/>
      <sz val="9"/>
      <color rgb="FF555555"/>
      <name val="Arial"/>
      <family val="0"/>
      <charset val="1"/>
    </font>
    <font>
      <i val="true"/>
      <sz val="9"/>
      <color rgb="FF333333"/>
      <name val="Arial"/>
      <family val="0"/>
      <charset val="1"/>
    </font>
    <font>
      <sz val="9"/>
      <color rgb="FF000000"/>
      <name val="Arial"/>
      <family val="0"/>
      <charset val="1"/>
    </font>
    <font>
      <b val="true"/>
      <sz val="14"/>
      <color rgb="FFFFFFFF"/>
      <name val="Arial"/>
      <family val="0"/>
      <charset val="1"/>
    </font>
    <font>
      <i val="true"/>
      <sz val="10"/>
      <color rgb="FFFFFFFF"/>
      <name val="Arial"/>
      <family val="0"/>
      <charset val="1"/>
    </font>
    <font>
      <i val="true"/>
      <sz val="9"/>
      <name val="Arial"/>
      <family val="0"/>
      <charset val="1"/>
    </font>
    <font>
      <sz val="9"/>
      <name val="Arial"/>
      <family val="0"/>
      <charset val="1"/>
    </font>
    <font>
      <u val="single"/>
      <sz val="9"/>
      <color rgb="FF0563C1"/>
      <name val="Arial"/>
      <family val="0"/>
      <charset val="1"/>
    </font>
  </fonts>
  <fills count="12">
    <fill>
      <patternFill patternType="none"/>
    </fill>
    <fill>
      <patternFill patternType="gray125"/>
    </fill>
    <fill>
      <patternFill patternType="solid">
        <fgColor rgb="FF1F3864"/>
        <bgColor rgb="FF333333"/>
      </patternFill>
    </fill>
    <fill>
      <patternFill patternType="solid">
        <fgColor rgb="FFDEEBF7"/>
        <bgColor rgb="FFE2EFDA"/>
      </patternFill>
    </fill>
    <fill>
      <patternFill patternType="solid">
        <fgColor rgb="FFFFFFFF"/>
        <bgColor rgb="FFF2F2F2"/>
      </patternFill>
    </fill>
    <fill>
      <patternFill patternType="solid">
        <fgColor rgb="FFFFF2CC"/>
        <bgColor rgb="FFF2F2F2"/>
      </patternFill>
    </fill>
    <fill>
      <patternFill patternType="solid">
        <fgColor rgb="FFE2EFDA"/>
        <bgColor rgb="FFDEEBF7"/>
      </patternFill>
    </fill>
    <fill>
      <patternFill patternType="solid">
        <fgColor rgb="FFFFE599"/>
        <bgColor rgb="FFFFF2CC"/>
      </patternFill>
    </fill>
    <fill>
      <patternFill patternType="solid">
        <fgColor rgb="FF93C47D"/>
        <bgColor rgb="FFB0B0B0"/>
      </patternFill>
    </fill>
    <fill>
      <patternFill patternType="solid">
        <fgColor rgb="FFF2F2F2"/>
        <bgColor rgb="FFE2EFDA"/>
      </patternFill>
    </fill>
    <fill>
      <patternFill patternType="solid">
        <fgColor rgb="FFF6B26B"/>
        <bgColor rgb="FFFF9900"/>
      </patternFill>
    </fill>
    <fill>
      <patternFill patternType="solid">
        <fgColor rgb="FFE06666"/>
        <bgColor rgb="FFFF6600"/>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left" vertical="center" textRotation="0" wrapText="false" indent="1" shrinkToFit="false"/>
      <protection locked="true" hidden="false"/>
    </xf>
    <xf numFmtId="165" fontId="13" fillId="4"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left" vertical="center" textRotation="0" wrapText="false" indent="1" shrinkToFit="false"/>
      <protection locked="true" hidden="false"/>
    </xf>
    <xf numFmtId="164" fontId="12" fillId="6" borderId="1" xfId="0" applyFont="true" applyBorder="true" applyAlignment="true" applyProtection="false">
      <alignment horizontal="left" vertical="center" textRotation="0" wrapText="false" indent="1" shrinkToFit="false"/>
      <protection locked="true" hidden="false"/>
    </xf>
    <xf numFmtId="164" fontId="11" fillId="2" borderId="1" xfId="0" applyFont="true" applyBorder="true" applyAlignment="true" applyProtection="false">
      <alignment horizontal="left" vertical="center" textRotation="0" wrapText="false" indent="1" shrinkToFit="false"/>
      <protection locked="true" hidden="false"/>
    </xf>
    <xf numFmtId="165" fontId="14" fillId="2" borderId="1" xfId="0" applyFont="true" applyBorder="true" applyAlignment="true" applyProtection="false">
      <alignment horizontal="center" vertical="center" textRotation="0" wrapText="false" indent="0" shrinkToFit="false"/>
      <protection locked="true" hidden="false"/>
    </xf>
    <xf numFmtId="164" fontId="15" fillId="2"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center" vertical="top" textRotation="0" wrapText="tru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13" fillId="8"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right" vertical="center" textRotation="0" wrapText="false" indent="0" shrinkToFit="false"/>
      <protection locked="true" hidden="false"/>
    </xf>
    <xf numFmtId="164" fontId="19" fillId="9"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right" vertical="top" textRotation="0" wrapText="false" indent="0" shrinkToFit="false"/>
      <protection locked="true" hidden="false"/>
    </xf>
    <xf numFmtId="164" fontId="20" fillId="9" borderId="1" xfId="0" applyFont="true" applyBorder="true" applyAlignment="true" applyProtection="false">
      <alignment horizontal="left" vertical="top" textRotation="0" wrapText="true" indent="0" shrinkToFit="false"/>
      <protection locked="true" hidden="false"/>
    </xf>
    <xf numFmtId="164" fontId="13" fillId="10" borderId="1" xfId="0" applyFont="true" applyBorder="true" applyAlignment="true" applyProtection="false">
      <alignment horizontal="center" vertical="center" textRotation="0" wrapText="false" indent="0" shrinkToFit="false"/>
      <protection locked="true" hidden="false"/>
    </xf>
    <xf numFmtId="164" fontId="13" fillId="11" borderId="1" xfId="0" applyFont="true" applyBorder="true" applyAlignment="true" applyProtection="false">
      <alignment horizontal="center" vertical="center" textRotation="0" wrapText="false" indent="0" shrinkToFit="false"/>
      <protection locked="true" hidden="false"/>
    </xf>
    <xf numFmtId="164" fontId="11" fillId="2" borderId="1" xfId="0" applyFont="true" applyBorder="true" applyAlignment="true" applyProtection="false">
      <alignment horizontal="right" vertical="center" textRotation="0" wrapText="false" indent="0" shrinkToFit="false"/>
      <protection locked="true" hidden="false"/>
    </xf>
    <xf numFmtId="165" fontId="21" fillId="2" borderId="1" xfId="0" applyFont="true" applyBorder="true" applyAlignment="true" applyProtection="false">
      <alignment horizontal="center" vertical="center" textRotation="0" wrapText="false" indent="0" shrinkToFit="false"/>
      <protection locked="true" hidden="false"/>
    </xf>
    <xf numFmtId="164" fontId="22" fillId="2" borderId="0"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23" fillId="0" borderId="1" xfId="0" applyFont="true" applyBorder="true" applyAlignment="true" applyProtection="false">
      <alignment horizontal="left" vertical="top" textRotation="0" wrapText="true" indent="0" shrinkToFit="false"/>
      <protection locked="true" hidden="false"/>
    </xf>
    <xf numFmtId="164" fontId="24" fillId="0" borderId="1" xfId="0" applyFont="true" applyBorder="true" applyAlignment="true" applyProtection="false">
      <alignment horizontal="left" vertical="top" textRotation="0" wrapText="tru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2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EEBF7"/>
          <bgColor rgb="FF000000"/>
        </patternFill>
      </fill>
    </dxf>
    <dxf>
      <fill>
        <patternFill patternType="solid">
          <fgColor rgb="FFE2EFDA"/>
          <bgColor rgb="FF000000"/>
        </patternFill>
      </fill>
    </dxf>
    <dxf>
      <fill>
        <patternFill patternType="solid">
          <fgColor rgb="FFFFF2CC"/>
          <bgColor rgb="FF000000"/>
        </patternFill>
      </fill>
    </dxf>
    <dxf>
      <fill>
        <patternFill patternType="solid">
          <fgColor rgb="FF93C47D"/>
          <bgColor rgb="FF000000"/>
        </patternFill>
      </fill>
    </dxf>
    <dxf>
      <fill>
        <patternFill patternType="solid">
          <fgColor rgb="FFE06666"/>
          <bgColor rgb="FF000000"/>
        </patternFill>
      </fill>
    </dxf>
    <dxf>
      <fill>
        <patternFill patternType="solid">
          <fgColor rgb="FFF6B26B"/>
          <bgColor rgb="FF000000"/>
        </patternFill>
      </fill>
    </dxf>
    <dxf>
      <fill>
        <patternFill patternType="solid">
          <fgColor rgb="FFFFE599"/>
          <bgColor rgb="FF000000"/>
        </patternFill>
      </fill>
    </dxf>
    <dxf>
      <fill>
        <patternFill patternType="solid">
          <fgColor rgb="FF555555"/>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88888"/>
      <rgbColor rgb="FF9999FF"/>
      <rgbColor rgb="FF993366"/>
      <rgbColor rgb="FFFFF2CC"/>
      <rgbColor rgb="FFDEEBF7"/>
      <rgbColor rgb="FF660066"/>
      <rgbColor rgb="FFE06666"/>
      <rgbColor rgb="FF0563C1"/>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6B26B"/>
      <rgbColor rgb="FFCC99FF"/>
      <rgbColor rgb="FFFFE599"/>
      <rgbColor rgb="FF3366FF"/>
      <rgbColor rgb="FF33CCCC"/>
      <rgbColor rgb="FF99CC00"/>
      <rgbColor rgb="FFFFCC00"/>
      <rgbColor rgb="FFFF9900"/>
      <rgbColor rgb="FFFF6600"/>
      <rgbColor rgb="FF555555"/>
      <rgbColor rgb="FF93C47D"/>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hyperlink" Target="https://50constitutions.org/" TargetMode="External"/><Relationship Id="rId2" Type="http://schemas.openxmlformats.org/officeDocument/2006/relationships/hyperlink" Target="https://www.scstatehouse.gov/scconstitution/scconst.php" TargetMode="External"/><Relationship Id="rId3" Type="http://schemas.openxmlformats.org/officeDocument/2006/relationships/hyperlink" Target="https://publications.tnsosfiles.com/pub/2023%20TN%20Constitution.pdf" TargetMode="External"/><Relationship Id="rId4" Type="http://schemas.openxmlformats.org/officeDocument/2006/relationships/hyperlink" Target="https://statutes.capitol.texas.gov/?link=CN" TargetMode="External"/><Relationship Id="rId5" Type="http://schemas.openxmlformats.org/officeDocument/2006/relationships/hyperlink" Target="https://le.utah.gov/xcode/constitution.html" TargetMode="External"/><Relationship Id="rId6" Type="http://schemas.openxmlformats.org/officeDocument/2006/relationships/hyperlink" Target="https://ballotpedia.org/" TargetMode="External"/><Relationship Id="rId7" Type="http://schemas.openxmlformats.org/officeDocument/2006/relationships/hyperlink" Target="https://www.brennancenter.org/our-work/research-reports/legislative-appointments-judges-lessons-south-carolina-virginia-and-rhode" TargetMode="External"/><Relationship Id="rId8" Type="http://schemas.openxmlformats.org/officeDocument/2006/relationships/hyperlink" Target="https://www.tncourts.gov/" TargetMode="External"/><Relationship Id="rId9" Type="http://schemas.openxmlformats.org/officeDocument/2006/relationships/hyperlink" Target="https://www.sentencingproject.org/reports/expanding-the-vote-state-felony-disenfranchisement-reform-1997-2023/" TargetMode="External"/><Relationship Id="rId10" Type="http://schemas.openxmlformats.org/officeDocument/2006/relationships/hyperlink" Target="https://statecourtreport.org/our-work/analysis-opinion/utah-constitution-distinctively-undistinctive" TargetMode="External"/><Relationship Id="rId11" Type="http://schemas.openxmlformats.org/officeDocument/2006/relationships/hyperlink" Target="https://statecourtreport.org/our-work/analysis-opinion/tennessee-constitution-least-imperfect-and-most-republican-state" TargetMode="External"/><Relationship Id="rId12" Type="http://schemas.openxmlformats.org/officeDocument/2006/relationships/hyperlink" Target="https://comparativeconstitutionsproject.or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90"/>
    <col collapsed="false" customWidth="true" hidden="false" outlineLevel="0" max="4" min="4" style="0" width="2"/>
  </cols>
  <sheetData>
    <row r="2" customFormat="false" ht="26.8" hidden="false" customHeight="false" outlineLevel="0" collapsed="false">
      <c r="B2" s="1" t="s">
        <v>0</v>
      </c>
    </row>
    <row r="4" customFormat="false" ht="15" hidden="false" customHeight="false" outlineLevel="0" collapsed="false">
      <c r="B4" s="2" t="s">
        <v>1</v>
      </c>
    </row>
    <row r="6" customFormat="false" ht="15" hidden="false" customHeight="false" outlineLevel="0" collapsed="false">
      <c r="B6" s="3" t="s">
        <v>2</v>
      </c>
    </row>
    <row r="9" customFormat="false" ht="39.75" hidden="false" customHeight="true" outlineLevel="0" collapsed="false">
      <c r="B9" s="4" t="s">
        <v>3</v>
      </c>
      <c r="C9" s="5" t="s">
        <v>4</v>
      </c>
    </row>
    <row r="10" customFormat="false" ht="39.75" hidden="false" customHeight="true" outlineLevel="0" collapsed="false">
      <c r="B10" s="4" t="s">
        <v>5</v>
      </c>
      <c r="C10" s="5" t="s">
        <v>6</v>
      </c>
    </row>
    <row r="11" customFormat="false" ht="39.75" hidden="false" customHeight="true" outlineLevel="0" collapsed="false">
      <c r="B11" s="4" t="s">
        <v>7</v>
      </c>
      <c r="C11" s="5" t="s">
        <v>8</v>
      </c>
    </row>
    <row r="12" customFormat="false" ht="39.75" hidden="false" customHeight="true" outlineLevel="0" collapsed="false">
      <c r="B12" s="4" t="s">
        <v>9</v>
      </c>
      <c r="C12" s="5" t="s">
        <v>10</v>
      </c>
    </row>
    <row r="13" customFormat="false" ht="39.75" hidden="false" customHeight="true" outlineLevel="0" collapsed="false">
      <c r="B13" s="4" t="s">
        <v>11</v>
      </c>
      <c r="C13" s="5" t="s">
        <v>12</v>
      </c>
    </row>
    <row r="14" customFormat="false" ht="39.75" hidden="false" customHeight="true" outlineLevel="0" collapsed="false">
      <c r="B14" s="4" t="s">
        <v>13</v>
      </c>
      <c r="C14" s="5" t="s">
        <v>14</v>
      </c>
    </row>
    <row r="15" customFormat="false" ht="39.75" hidden="false" customHeight="true" outlineLevel="0" collapsed="false">
      <c r="B15" s="4" t="s">
        <v>15</v>
      </c>
      <c r="C15" s="5" t="s">
        <v>16</v>
      </c>
    </row>
    <row r="16" customFormat="false" ht="39.75" hidden="false" customHeight="true" outlineLevel="0" collapsed="false">
      <c r="B16" s="4" t="s">
        <v>17</v>
      </c>
      <c r="C16" s="5"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6"/>
    <col collapsed="false" customWidth="true" hidden="false" outlineLevel="0" max="6" min="3" style="0" width="12"/>
    <col collapsed="false" customWidth="true" hidden="false" outlineLevel="0" max="7" min="7" style="0" width="18"/>
    <col collapsed="false" customWidth="true" hidden="false" outlineLevel="0" max="8" min="8" style="0" width="2"/>
  </cols>
  <sheetData>
    <row r="2" customFormat="false" ht="19.7" hidden="false" customHeight="false" outlineLevel="0" collapsed="false">
      <c r="B2" s="6" t="s">
        <v>19</v>
      </c>
      <c r="C2" s="6"/>
      <c r="D2" s="6"/>
      <c r="E2" s="6"/>
      <c r="F2" s="6"/>
      <c r="G2" s="6"/>
    </row>
    <row r="4" customFormat="false" ht="39.75" hidden="false" customHeight="true" outlineLevel="0" collapsed="false">
      <c r="B4" s="7" t="s">
        <v>20</v>
      </c>
      <c r="C4" s="7"/>
      <c r="D4" s="7"/>
      <c r="E4" s="7"/>
      <c r="F4" s="7"/>
      <c r="G4" s="7"/>
    </row>
    <row r="6" customFormat="false" ht="21.75" hidden="false" customHeight="true" outlineLevel="0" collapsed="false">
      <c r="B6" s="8" t="s">
        <v>21</v>
      </c>
      <c r="C6" s="8" t="s">
        <v>22</v>
      </c>
      <c r="D6" s="8" t="s">
        <v>23</v>
      </c>
      <c r="E6" s="8" t="s">
        <v>24</v>
      </c>
      <c r="F6" s="8" t="s">
        <v>25</v>
      </c>
      <c r="G6" s="8" t="s">
        <v>26</v>
      </c>
    </row>
    <row r="7" customFormat="false" ht="25.5" hidden="false" customHeight="true" outlineLevel="0" collapsed="false">
      <c r="B7" s="9" t="s">
        <v>27</v>
      </c>
      <c r="C7" s="10" t="n">
        <f aca="false">'FF — Comparative'!C26</f>
        <v>13</v>
      </c>
      <c r="D7" s="10" t="n">
        <f aca="false">'FF — Comparative'!D26</f>
        <v>10</v>
      </c>
      <c r="E7" s="10" t="n">
        <f aca="false">'FF — Comparative'!E26</f>
        <v>11</v>
      </c>
      <c r="F7" s="10" t="n">
        <f aca="false">'FF — Comparative'!F26</f>
        <v>16</v>
      </c>
      <c r="G7" s="11" t="n">
        <v>21</v>
      </c>
    </row>
    <row r="8" customFormat="false" ht="25.5" hidden="false" customHeight="true" outlineLevel="0" collapsed="false">
      <c r="B8" s="12" t="s">
        <v>28</v>
      </c>
      <c r="C8" s="10" t="n">
        <f aca="false">'CB — Comparative'!C29</f>
        <v>13</v>
      </c>
      <c r="D8" s="10" t="n">
        <f aca="false">'CB — Comparative'!D29</f>
        <v>11</v>
      </c>
      <c r="E8" s="10" t="n">
        <f aca="false">'CB — Comparative'!E29</f>
        <v>16</v>
      </c>
      <c r="F8" s="10" t="n">
        <f aca="false">'CB — Comparative'!F29</f>
        <v>20</v>
      </c>
      <c r="G8" s="11" t="n">
        <v>24</v>
      </c>
    </row>
    <row r="9" customFormat="false" ht="25.5" hidden="false" customHeight="true" outlineLevel="0" collapsed="false">
      <c r="B9" s="13" t="s">
        <v>29</v>
      </c>
      <c r="C9" s="10" t="n">
        <f aca="false">'DP — Comparative'!C26</f>
        <v>4</v>
      </c>
      <c r="D9" s="10" t="n">
        <f aca="false">'DP — Comparative'!D26</f>
        <v>7</v>
      </c>
      <c r="E9" s="10" t="n">
        <f aca="false">'DP — Comparative'!E26</f>
        <v>5</v>
      </c>
      <c r="F9" s="10" t="n">
        <f aca="false">'DP — Comparative'!F26</f>
        <v>10</v>
      </c>
      <c r="G9" s="11" t="n">
        <v>21</v>
      </c>
    </row>
    <row r="10" customFormat="false" ht="25.5" hidden="false" customHeight="true" outlineLevel="0" collapsed="false">
      <c r="B10" s="14" t="s">
        <v>30</v>
      </c>
      <c r="C10" s="15" t="n">
        <f aca="false">SUM(C7:C9)</f>
        <v>30</v>
      </c>
      <c r="D10" s="15" t="n">
        <f aca="false">SUM(D7:D9)</f>
        <v>28</v>
      </c>
      <c r="E10" s="15" t="n">
        <f aca="false">SUM(E7:E9)</f>
        <v>32</v>
      </c>
      <c r="F10" s="15" t="n">
        <f aca="false">SUM(F7:F9)</f>
        <v>46</v>
      </c>
      <c r="G10" s="16" t="n">
        <v>66</v>
      </c>
    </row>
    <row r="13" customFormat="false" ht="15" hidden="false" customHeight="false" outlineLevel="0" collapsed="false">
      <c r="B13" s="17" t="s">
        <v>31</v>
      </c>
      <c r="C13" s="17"/>
      <c r="D13" s="17"/>
      <c r="E13" s="17"/>
      <c r="F13" s="17"/>
      <c r="G13" s="17"/>
    </row>
    <row r="14" customFormat="false" ht="69.75" hidden="false" customHeight="true" outlineLevel="0" collapsed="false">
      <c r="B14" s="7" t="s">
        <v>32</v>
      </c>
      <c r="C14" s="7"/>
      <c r="D14" s="7"/>
      <c r="E14" s="7"/>
      <c r="F14" s="7"/>
      <c r="G14" s="7"/>
    </row>
  </sheetData>
  <mergeCells count="4">
    <mergeCell ref="B2:G2"/>
    <mergeCell ref="B4:G4"/>
    <mergeCell ref="B13:G13"/>
    <mergeCell ref="B14:G14"/>
  </mergeCells>
  <conditionalFormatting sqref="C7:F9">
    <cfRule type="colorScale" priority="2">
      <colorScale>
        <cfvo type="num" val="0"/>
        <cfvo type="num" val="10"/>
        <cfvo type="num" val="21"/>
        <color rgb="FFE06666"/>
        <color rgb="FFFFE599"/>
        <color rgb="FF93C47D"/>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6" min="3" style="0" width="8"/>
    <col collapsed="false" customWidth="true" hidden="false" outlineLevel="0" max="7" min="7" style="0" width="40"/>
    <col collapsed="false" customWidth="true" hidden="false" outlineLevel="0" max="8" min="8" style="0" width="45"/>
  </cols>
  <sheetData>
    <row r="1" customFormat="false" ht="17.35" hidden="false" customHeight="false" outlineLevel="0" collapsed="false">
      <c r="A1" s="18" t="s">
        <v>33</v>
      </c>
      <c r="B1" s="18"/>
      <c r="C1" s="18"/>
      <c r="D1" s="18"/>
      <c r="E1" s="18"/>
      <c r="F1" s="18"/>
      <c r="G1" s="18"/>
      <c r="H1" s="18"/>
    </row>
    <row r="3" customFormat="false" ht="27.75" hidden="false" customHeight="true" outlineLevel="0" collapsed="false">
      <c r="A3" s="8" t="s">
        <v>34</v>
      </c>
      <c r="B3" s="8" t="s">
        <v>35</v>
      </c>
      <c r="C3" s="8" t="s">
        <v>22</v>
      </c>
      <c r="D3" s="8" t="s">
        <v>23</v>
      </c>
      <c r="E3" s="8" t="s">
        <v>24</v>
      </c>
      <c r="F3" s="8" t="s">
        <v>25</v>
      </c>
      <c r="G3" s="8" t="s">
        <v>36</v>
      </c>
      <c r="H3" s="8" t="s">
        <v>37</v>
      </c>
    </row>
    <row r="4" customFormat="false" ht="49.5" hidden="false" customHeight="true" outlineLevel="0" collapsed="false">
      <c r="A4" s="19" t="s">
        <v>38</v>
      </c>
      <c r="B4" s="20" t="s">
        <v>39</v>
      </c>
      <c r="C4" s="21" t="n">
        <v>2</v>
      </c>
      <c r="D4" s="22" t="n">
        <v>3</v>
      </c>
      <c r="E4" s="22" t="n">
        <v>3</v>
      </c>
      <c r="F4" s="22" t="n">
        <v>3</v>
      </c>
      <c r="G4" s="23" t="s">
        <v>40</v>
      </c>
      <c r="H4" s="23" t="s">
        <v>41</v>
      </c>
    </row>
    <row r="5" customFormat="false" ht="24" hidden="false" customHeight="true" outlineLevel="0" collapsed="false">
      <c r="A5" s="24"/>
      <c r="B5" s="25" t="s">
        <v>42</v>
      </c>
      <c r="C5" s="26" t="s">
        <v>43</v>
      </c>
      <c r="D5" s="26" t="s">
        <v>44</v>
      </c>
      <c r="E5" s="26" t="s">
        <v>45</v>
      </c>
      <c r="F5" s="26" t="s">
        <v>46</v>
      </c>
      <c r="G5" s="24"/>
      <c r="H5" s="24"/>
    </row>
    <row r="6" customFormat="false" ht="79.5" hidden="false" customHeight="true" outlineLevel="0" collapsed="false">
      <c r="A6" s="24"/>
      <c r="B6" s="27" t="s">
        <v>47</v>
      </c>
      <c r="C6" s="28" t="s">
        <v>48</v>
      </c>
      <c r="D6" s="28" t="s">
        <v>49</v>
      </c>
      <c r="E6" s="28" t="s">
        <v>50</v>
      </c>
      <c r="F6" s="28" t="s">
        <v>51</v>
      </c>
      <c r="G6" s="24"/>
      <c r="H6" s="24"/>
    </row>
    <row r="7" customFormat="false" ht="49.5" hidden="false" customHeight="true" outlineLevel="0" collapsed="false">
      <c r="A7" s="19" t="s">
        <v>52</v>
      </c>
      <c r="B7" s="20" t="s">
        <v>53</v>
      </c>
      <c r="C7" s="21" t="n">
        <v>2</v>
      </c>
      <c r="D7" s="21" t="n">
        <v>2</v>
      </c>
      <c r="E7" s="21" t="n">
        <v>2</v>
      </c>
      <c r="F7" s="21" t="n">
        <v>2</v>
      </c>
      <c r="G7" s="23" t="s">
        <v>54</v>
      </c>
      <c r="H7" s="23" t="s">
        <v>55</v>
      </c>
    </row>
    <row r="8" customFormat="false" ht="24" hidden="false" customHeight="true" outlineLevel="0" collapsed="false">
      <c r="A8" s="24"/>
      <c r="B8" s="25" t="s">
        <v>42</v>
      </c>
      <c r="C8" s="26" t="s">
        <v>56</v>
      </c>
      <c r="D8" s="26" t="s">
        <v>57</v>
      </c>
      <c r="E8" s="26" t="s">
        <v>58</v>
      </c>
      <c r="F8" s="26" t="s">
        <v>59</v>
      </c>
      <c r="G8" s="24"/>
      <c r="H8" s="24"/>
    </row>
    <row r="9" customFormat="false" ht="79.5" hidden="false" customHeight="true" outlineLevel="0" collapsed="false">
      <c r="A9" s="24"/>
      <c r="B9" s="27" t="s">
        <v>47</v>
      </c>
      <c r="C9" s="28" t="s">
        <v>60</v>
      </c>
      <c r="D9" s="28" t="s">
        <v>61</v>
      </c>
      <c r="E9" s="28" t="s">
        <v>62</v>
      </c>
      <c r="F9" s="28" t="s">
        <v>63</v>
      </c>
      <c r="G9" s="24"/>
      <c r="H9" s="24"/>
    </row>
    <row r="10" customFormat="false" ht="49.5" hidden="false" customHeight="true" outlineLevel="0" collapsed="false">
      <c r="A10" s="19" t="s">
        <v>64</v>
      </c>
      <c r="B10" s="20" t="s">
        <v>65</v>
      </c>
      <c r="C10" s="29" t="n">
        <v>1</v>
      </c>
      <c r="D10" s="29" t="n">
        <v>1</v>
      </c>
      <c r="E10" s="29" t="n">
        <v>1</v>
      </c>
      <c r="F10" s="29" t="n">
        <v>1</v>
      </c>
      <c r="G10" s="23" t="s">
        <v>66</v>
      </c>
      <c r="H10" s="23" t="s">
        <v>67</v>
      </c>
    </row>
    <row r="11" customFormat="false" ht="24" hidden="false" customHeight="true" outlineLevel="0" collapsed="false">
      <c r="A11" s="24"/>
      <c r="B11" s="25" t="s">
        <v>42</v>
      </c>
      <c r="C11" s="26" t="s">
        <v>68</v>
      </c>
      <c r="D11" s="26" t="s">
        <v>69</v>
      </c>
      <c r="E11" s="26" t="s">
        <v>70</v>
      </c>
      <c r="F11" s="26" t="s">
        <v>71</v>
      </c>
      <c r="G11" s="24"/>
      <c r="H11" s="24"/>
    </row>
    <row r="12" customFormat="false" ht="79.5" hidden="false" customHeight="true" outlineLevel="0" collapsed="false">
      <c r="A12" s="24"/>
      <c r="B12" s="27" t="s">
        <v>47</v>
      </c>
      <c r="C12" s="28" t="s">
        <v>72</v>
      </c>
      <c r="D12" s="28" t="s">
        <v>73</v>
      </c>
      <c r="E12" s="28" t="s">
        <v>74</v>
      </c>
      <c r="F12" s="28" t="s">
        <v>75</v>
      </c>
      <c r="G12" s="24"/>
      <c r="H12" s="24"/>
    </row>
    <row r="13" customFormat="false" ht="49.5" hidden="false" customHeight="true" outlineLevel="0" collapsed="false">
      <c r="A13" s="19" t="s">
        <v>76</v>
      </c>
      <c r="B13" s="20" t="s">
        <v>77</v>
      </c>
      <c r="C13" s="21" t="n">
        <v>2</v>
      </c>
      <c r="D13" s="29" t="n">
        <v>1</v>
      </c>
      <c r="E13" s="29" t="n">
        <v>1</v>
      </c>
      <c r="F13" s="22" t="n">
        <v>3</v>
      </c>
      <c r="G13" s="23" t="s">
        <v>78</v>
      </c>
      <c r="H13" s="23" t="s">
        <v>79</v>
      </c>
    </row>
    <row r="14" customFormat="false" ht="24" hidden="false" customHeight="true" outlineLevel="0" collapsed="false">
      <c r="A14" s="24"/>
      <c r="B14" s="25" t="s">
        <v>42</v>
      </c>
      <c r="C14" s="26" t="s">
        <v>80</v>
      </c>
      <c r="D14" s="26" t="s">
        <v>81</v>
      </c>
      <c r="E14" s="26" t="s">
        <v>82</v>
      </c>
      <c r="F14" s="26" t="s">
        <v>83</v>
      </c>
      <c r="G14" s="24"/>
      <c r="H14" s="24"/>
    </row>
    <row r="15" customFormat="false" ht="79.5" hidden="false" customHeight="true" outlineLevel="0" collapsed="false">
      <c r="A15" s="24"/>
      <c r="B15" s="27" t="s">
        <v>47</v>
      </c>
      <c r="C15" s="28" t="s">
        <v>84</v>
      </c>
      <c r="D15" s="28" t="s">
        <v>85</v>
      </c>
      <c r="E15" s="28" t="s">
        <v>86</v>
      </c>
      <c r="F15" s="28" t="s">
        <v>87</v>
      </c>
      <c r="G15" s="24"/>
      <c r="H15" s="24"/>
    </row>
    <row r="16" customFormat="false" ht="49.5" hidden="false" customHeight="true" outlineLevel="0" collapsed="false">
      <c r="A16" s="19" t="s">
        <v>88</v>
      </c>
      <c r="B16" s="20" t="s">
        <v>89</v>
      </c>
      <c r="C16" s="21" t="n">
        <v>2</v>
      </c>
      <c r="D16" s="30" t="n">
        <v>0</v>
      </c>
      <c r="E16" s="29" t="n">
        <v>1</v>
      </c>
      <c r="F16" s="22" t="n">
        <v>3</v>
      </c>
      <c r="G16" s="23" t="s">
        <v>90</v>
      </c>
      <c r="H16" s="23" t="s">
        <v>91</v>
      </c>
    </row>
    <row r="17" customFormat="false" ht="24" hidden="false" customHeight="true" outlineLevel="0" collapsed="false">
      <c r="A17" s="24"/>
      <c r="B17" s="25" t="s">
        <v>42</v>
      </c>
      <c r="C17" s="26" t="s">
        <v>92</v>
      </c>
      <c r="D17" s="26" t="s">
        <v>93</v>
      </c>
      <c r="E17" s="26" t="s">
        <v>94</v>
      </c>
      <c r="F17" s="26" t="s">
        <v>83</v>
      </c>
      <c r="G17" s="24"/>
      <c r="H17" s="24"/>
    </row>
    <row r="18" customFormat="false" ht="79.5" hidden="false" customHeight="true" outlineLevel="0" collapsed="false">
      <c r="A18" s="24"/>
      <c r="B18" s="27" t="s">
        <v>47</v>
      </c>
      <c r="C18" s="28" t="s">
        <v>95</v>
      </c>
      <c r="D18" s="28" t="s">
        <v>96</v>
      </c>
      <c r="E18" s="28" t="s">
        <v>97</v>
      </c>
      <c r="F18" s="28" t="s">
        <v>98</v>
      </c>
      <c r="G18" s="24"/>
      <c r="H18" s="24"/>
    </row>
    <row r="19" customFormat="false" ht="49.5" hidden="false" customHeight="true" outlineLevel="0" collapsed="false">
      <c r="A19" s="19" t="s">
        <v>99</v>
      </c>
      <c r="B19" s="20" t="s">
        <v>100</v>
      </c>
      <c r="C19" s="21" t="n">
        <v>2</v>
      </c>
      <c r="D19" s="22" t="n">
        <v>3</v>
      </c>
      <c r="E19" s="29" t="n">
        <v>1</v>
      </c>
      <c r="F19" s="21" t="n">
        <v>2</v>
      </c>
      <c r="G19" s="23" t="s">
        <v>101</v>
      </c>
      <c r="H19" s="23" t="s">
        <v>102</v>
      </c>
    </row>
    <row r="20" customFormat="false" ht="24" hidden="false" customHeight="true" outlineLevel="0" collapsed="false">
      <c r="A20" s="24"/>
      <c r="B20" s="25" t="s">
        <v>42</v>
      </c>
      <c r="C20" s="26" t="s">
        <v>103</v>
      </c>
      <c r="D20" s="26" t="s">
        <v>103</v>
      </c>
      <c r="E20" s="26" t="s">
        <v>104</v>
      </c>
      <c r="F20" s="26" t="s">
        <v>105</v>
      </c>
      <c r="G20" s="24"/>
      <c r="H20" s="24"/>
    </row>
    <row r="21" customFormat="false" ht="79.5" hidden="false" customHeight="true" outlineLevel="0" collapsed="false">
      <c r="A21" s="24"/>
      <c r="B21" s="27" t="s">
        <v>47</v>
      </c>
      <c r="C21" s="28" t="s">
        <v>106</v>
      </c>
      <c r="D21" s="28" t="s">
        <v>107</v>
      </c>
      <c r="E21" s="28" t="s">
        <v>108</v>
      </c>
      <c r="F21" s="28" t="s">
        <v>109</v>
      </c>
      <c r="G21" s="24"/>
      <c r="H21" s="24"/>
    </row>
    <row r="22" customFormat="false" ht="49.5" hidden="false" customHeight="true" outlineLevel="0" collapsed="false">
      <c r="A22" s="19" t="s">
        <v>110</v>
      </c>
      <c r="B22" s="20" t="s">
        <v>111</v>
      </c>
      <c r="C22" s="21" t="n">
        <v>2</v>
      </c>
      <c r="D22" s="30" t="n">
        <v>0</v>
      </c>
      <c r="E22" s="21" t="n">
        <v>2</v>
      </c>
      <c r="F22" s="21" t="n">
        <v>2</v>
      </c>
      <c r="G22" s="23" t="s">
        <v>112</v>
      </c>
      <c r="H22" s="23" t="s">
        <v>113</v>
      </c>
    </row>
    <row r="23" customFormat="false" ht="24" hidden="false" customHeight="true" outlineLevel="0" collapsed="false">
      <c r="A23" s="24"/>
      <c r="B23" s="25" t="s">
        <v>42</v>
      </c>
      <c r="C23" s="26" t="s">
        <v>114</v>
      </c>
      <c r="D23" s="26" t="s">
        <v>115</v>
      </c>
      <c r="E23" s="26" t="s">
        <v>114</v>
      </c>
      <c r="F23" s="26" t="s">
        <v>114</v>
      </c>
      <c r="G23" s="24"/>
      <c r="H23" s="24"/>
    </row>
    <row r="24" customFormat="false" ht="79.5" hidden="false" customHeight="true" outlineLevel="0" collapsed="false">
      <c r="A24" s="24"/>
      <c r="B24" s="27" t="s">
        <v>47</v>
      </c>
      <c r="C24" s="28" t="s">
        <v>116</v>
      </c>
      <c r="D24" s="28" t="s">
        <v>117</v>
      </c>
      <c r="E24" s="28" t="s">
        <v>118</v>
      </c>
      <c r="F24" s="28" t="s">
        <v>119</v>
      </c>
      <c r="G24" s="24"/>
      <c r="H24" s="24"/>
    </row>
    <row r="26" customFormat="false" ht="31.5" hidden="false" customHeight="true" outlineLevel="0" collapsed="false">
      <c r="B26" s="31" t="s">
        <v>120</v>
      </c>
      <c r="C26" s="32" t="n">
        <f aca="false">SUM(C4,C7,C10,C13,C16,C19,C22)</f>
        <v>13</v>
      </c>
      <c r="D26" s="32" t="n">
        <f aca="false">SUM(D4,D7,D10,D13,D16,D19,D22)</f>
        <v>10</v>
      </c>
      <c r="E26" s="32" t="n">
        <f aca="false">SUM(E4,E7,E10,E13,E16,E19,E22)</f>
        <v>11</v>
      </c>
      <c r="F26" s="32" t="n">
        <f aca="false">SUM(F4,F7,F10,F13,F16,F19,F22)</f>
        <v>16</v>
      </c>
      <c r="G26" s="33" t="s">
        <v>121</v>
      </c>
      <c r="H26" s="33"/>
    </row>
  </sheetData>
  <mergeCells count="2">
    <mergeCell ref="A1:H1"/>
    <mergeCell ref="G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6" min="3" style="0" width="8"/>
    <col collapsed="false" customWidth="true" hidden="false" outlineLevel="0" max="7" min="7" style="0" width="40"/>
    <col collapsed="false" customWidth="true" hidden="false" outlineLevel="0" max="8" min="8" style="0" width="45"/>
  </cols>
  <sheetData>
    <row r="1" customFormat="false" ht="17.35" hidden="false" customHeight="false" outlineLevel="0" collapsed="false">
      <c r="A1" s="18" t="s">
        <v>122</v>
      </c>
      <c r="B1" s="18"/>
      <c r="C1" s="18"/>
      <c r="D1" s="18"/>
      <c r="E1" s="18"/>
      <c r="F1" s="18"/>
      <c r="G1" s="18"/>
      <c r="H1" s="18"/>
    </row>
    <row r="3" customFormat="false" ht="27.75" hidden="false" customHeight="true" outlineLevel="0" collapsed="false">
      <c r="A3" s="8" t="s">
        <v>34</v>
      </c>
      <c r="B3" s="8" t="s">
        <v>35</v>
      </c>
      <c r="C3" s="8" t="s">
        <v>22</v>
      </c>
      <c r="D3" s="8" t="s">
        <v>23</v>
      </c>
      <c r="E3" s="8" t="s">
        <v>24</v>
      </c>
      <c r="F3" s="8" t="s">
        <v>25</v>
      </c>
      <c r="G3" s="8" t="s">
        <v>36</v>
      </c>
      <c r="H3" s="8" t="s">
        <v>37</v>
      </c>
    </row>
    <row r="4" customFormat="false" ht="49.5" hidden="false" customHeight="true" outlineLevel="0" collapsed="false">
      <c r="A4" s="19" t="s">
        <v>123</v>
      </c>
      <c r="B4" s="20" t="s">
        <v>124</v>
      </c>
      <c r="C4" s="22" t="n">
        <v>3</v>
      </c>
      <c r="D4" s="29" t="n">
        <v>1</v>
      </c>
      <c r="E4" s="22" t="n">
        <v>3</v>
      </c>
      <c r="F4" s="21" t="n">
        <v>2</v>
      </c>
      <c r="G4" s="23" t="s">
        <v>125</v>
      </c>
      <c r="H4" s="23" t="s">
        <v>126</v>
      </c>
    </row>
    <row r="5" customFormat="false" ht="24" hidden="false" customHeight="true" outlineLevel="0" collapsed="false">
      <c r="A5" s="24"/>
      <c r="B5" s="25" t="s">
        <v>42</v>
      </c>
      <c r="C5" s="26" t="s">
        <v>92</v>
      </c>
      <c r="D5" s="26" t="s">
        <v>127</v>
      </c>
      <c r="E5" s="26" t="s">
        <v>128</v>
      </c>
      <c r="F5" s="26" t="s">
        <v>129</v>
      </c>
      <c r="G5" s="24"/>
      <c r="H5" s="24"/>
    </row>
    <row r="6" customFormat="false" ht="79.5" hidden="false" customHeight="true" outlineLevel="0" collapsed="false">
      <c r="A6" s="24"/>
      <c r="B6" s="27" t="s">
        <v>47</v>
      </c>
      <c r="C6" s="28" t="s">
        <v>130</v>
      </c>
      <c r="D6" s="28" t="s">
        <v>131</v>
      </c>
      <c r="E6" s="28" t="s">
        <v>132</v>
      </c>
      <c r="F6" s="28" t="s">
        <v>133</v>
      </c>
      <c r="G6" s="24"/>
      <c r="H6" s="24"/>
    </row>
    <row r="7" customFormat="false" ht="49.5" hidden="false" customHeight="true" outlineLevel="0" collapsed="false">
      <c r="A7" s="19" t="s">
        <v>134</v>
      </c>
      <c r="B7" s="20" t="s">
        <v>135</v>
      </c>
      <c r="C7" s="22" t="n">
        <v>3</v>
      </c>
      <c r="D7" s="21" t="n">
        <v>2</v>
      </c>
      <c r="E7" s="22" t="n">
        <v>3</v>
      </c>
      <c r="F7" s="22" t="n">
        <v>3</v>
      </c>
      <c r="G7" s="23" t="s">
        <v>136</v>
      </c>
      <c r="H7" s="23" t="s">
        <v>137</v>
      </c>
    </row>
    <row r="8" customFormat="false" ht="24" hidden="false" customHeight="true" outlineLevel="0" collapsed="false">
      <c r="A8" s="24"/>
      <c r="B8" s="25" t="s">
        <v>42</v>
      </c>
      <c r="C8" s="26" t="s">
        <v>138</v>
      </c>
      <c r="D8" s="26" t="s">
        <v>139</v>
      </c>
      <c r="E8" s="26" t="s">
        <v>140</v>
      </c>
      <c r="F8" s="26" t="s">
        <v>141</v>
      </c>
      <c r="G8" s="24"/>
      <c r="H8" s="24"/>
    </row>
    <row r="9" customFormat="false" ht="79.5" hidden="false" customHeight="true" outlineLevel="0" collapsed="false">
      <c r="A9" s="24"/>
      <c r="B9" s="27" t="s">
        <v>47</v>
      </c>
      <c r="C9" s="28" t="s">
        <v>142</v>
      </c>
      <c r="D9" s="28" t="s">
        <v>143</v>
      </c>
      <c r="E9" s="28" t="s">
        <v>142</v>
      </c>
      <c r="F9" s="28" t="s">
        <v>142</v>
      </c>
      <c r="G9" s="24"/>
      <c r="H9" s="24"/>
    </row>
    <row r="10" customFormat="false" ht="49.5" hidden="false" customHeight="true" outlineLevel="0" collapsed="false">
      <c r="A10" s="19" t="s">
        <v>144</v>
      </c>
      <c r="B10" s="20" t="s">
        <v>145</v>
      </c>
      <c r="C10" s="30" t="n">
        <v>0</v>
      </c>
      <c r="D10" s="22" t="n">
        <v>3</v>
      </c>
      <c r="E10" s="29" t="n">
        <v>1</v>
      </c>
      <c r="F10" s="22" t="n">
        <v>3</v>
      </c>
      <c r="G10" s="23" t="s">
        <v>146</v>
      </c>
      <c r="H10" s="23" t="s">
        <v>147</v>
      </c>
    </row>
    <row r="11" customFormat="false" ht="24" hidden="false" customHeight="true" outlineLevel="0" collapsed="false">
      <c r="A11" s="24"/>
      <c r="B11" s="25" t="s">
        <v>42</v>
      </c>
      <c r="C11" s="26" t="s">
        <v>148</v>
      </c>
      <c r="D11" s="26" t="s">
        <v>149</v>
      </c>
      <c r="E11" s="26" t="s">
        <v>150</v>
      </c>
      <c r="F11" s="26" t="s">
        <v>151</v>
      </c>
      <c r="G11" s="24"/>
      <c r="H11" s="24"/>
    </row>
    <row r="12" customFormat="false" ht="79.5" hidden="false" customHeight="true" outlineLevel="0" collapsed="false">
      <c r="A12" s="24"/>
      <c r="B12" s="27" t="s">
        <v>47</v>
      </c>
      <c r="C12" s="28" t="s">
        <v>152</v>
      </c>
      <c r="D12" s="28" t="s">
        <v>153</v>
      </c>
      <c r="E12" s="28" t="s">
        <v>154</v>
      </c>
      <c r="F12" s="28" t="s">
        <v>155</v>
      </c>
      <c r="G12" s="24"/>
      <c r="H12" s="24"/>
    </row>
    <row r="13" customFormat="false" ht="49.5" hidden="false" customHeight="true" outlineLevel="0" collapsed="false">
      <c r="A13" s="19" t="s">
        <v>156</v>
      </c>
      <c r="B13" s="20" t="s">
        <v>157</v>
      </c>
      <c r="C13" s="30" t="n">
        <v>0</v>
      </c>
      <c r="D13" s="21" t="n">
        <v>2</v>
      </c>
      <c r="E13" s="22" t="n">
        <v>3</v>
      </c>
      <c r="F13" s="21" t="n">
        <v>2</v>
      </c>
      <c r="G13" s="23" t="s">
        <v>158</v>
      </c>
      <c r="H13" s="23" t="s">
        <v>159</v>
      </c>
    </row>
    <row r="14" customFormat="false" ht="24" hidden="false" customHeight="true" outlineLevel="0" collapsed="false">
      <c r="A14" s="24"/>
      <c r="B14" s="25" t="s">
        <v>42</v>
      </c>
      <c r="C14" s="26" t="s">
        <v>160</v>
      </c>
      <c r="D14" s="26" t="s">
        <v>92</v>
      </c>
      <c r="E14" s="26" t="s">
        <v>161</v>
      </c>
      <c r="F14" s="26" t="s">
        <v>151</v>
      </c>
      <c r="G14" s="24"/>
      <c r="H14" s="24"/>
    </row>
    <row r="15" customFormat="false" ht="79.5" hidden="false" customHeight="true" outlineLevel="0" collapsed="false">
      <c r="A15" s="24"/>
      <c r="B15" s="27" t="s">
        <v>47</v>
      </c>
      <c r="C15" s="28" t="s">
        <v>162</v>
      </c>
      <c r="D15" s="28" t="s">
        <v>163</v>
      </c>
      <c r="E15" s="28" t="s">
        <v>164</v>
      </c>
      <c r="F15" s="28" t="s">
        <v>165</v>
      </c>
      <c r="G15" s="24"/>
      <c r="H15" s="24"/>
    </row>
    <row r="16" customFormat="false" ht="49.5" hidden="false" customHeight="true" outlineLevel="0" collapsed="false">
      <c r="A16" s="19" t="s">
        <v>166</v>
      </c>
      <c r="B16" s="20" t="s">
        <v>167</v>
      </c>
      <c r="C16" s="21" t="n">
        <v>2</v>
      </c>
      <c r="D16" s="30" t="n">
        <v>0</v>
      </c>
      <c r="E16" s="30" t="n">
        <v>0</v>
      </c>
      <c r="F16" s="22" t="n">
        <v>3</v>
      </c>
      <c r="G16" s="23" t="s">
        <v>168</v>
      </c>
      <c r="H16" s="23" t="s">
        <v>169</v>
      </c>
    </row>
    <row r="17" customFormat="false" ht="24" hidden="false" customHeight="true" outlineLevel="0" collapsed="false">
      <c r="A17" s="24"/>
      <c r="B17" s="25" t="s">
        <v>42</v>
      </c>
      <c r="C17" s="26" t="s">
        <v>170</v>
      </c>
      <c r="D17" s="26" t="s">
        <v>171</v>
      </c>
      <c r="E17" s="26" t="s">
        <v>172</v>
      </c>
      <c r="F17" s="26" t="s">
        <v>173</v>
      </c>
      <c r="G17" s="24"/>
      <c r="H17" s="24"/>
    </row>
    <row r="18" customFormat="false" ht="79.5" hidden="false" customHeight="true" outlineLevel="0" collapsed="false">
      <c r="A18" s="24"/>
      <c r="B18" s="27" t="s">
        <v>47</v>
      </c>
      <c r="C18" s="28" t="s">
        <v>174</v>
      </c>
      <c r="D18" s="28" t="s">
        <v>175</v>
      </c>
      <c r="E18" s="28" t="s">
        <v>176</v>
      </c>
      <c r="F18" s="28" t="s">
        <v>177</v>
      </c>
      <c r="G18" s="24"/>
      <c r="H18" s="24"/>
    </row>
    <row r="19" customFormat="false" ht="49.5" hidden="false" customHeight="true" outlineLevel="0" collapsed="false">
      <c r="A19" s="19" t="s">
        <v>178</v>
      </c>
      <c r="B19" s="20" t="s">
        <v>179</v>
      </c>
      <c r="C19" s="21" t="n">
        <v>2</v>
      </c>
      <c r="D19" s="30" t="n">
        <v>0</v>
      </c>
      <c r="E19" s="21" t="n">
        <v>2</v>
      </c>
      <c r="F19" s="21" t="n">
        <v>2</v>
      </c>
      <c r="G19" s="23" t="s">
        <v>180</v>
      </c>
      <c r="H19" s="23" t="s">
        <v>181</v>
      </c>
    </row>
    <row r="20" customFormat="false" ht="24" hidden="false" customHeight="true" outlineLevel="0" collapsed="false">
      <c r="A20" s="24"/>
      <c r="B20" s="25" t="s">
        <v>42</v>
      </c>
      <c r="C20" s="26" t="s">
        <v>182</v>
      </c>
      <c r="D20" s="26" t="s">
        <v>183</v>
      </c>
      <c r="E20" s="26" t="s">
        <v>184</v>
      </c>
      <c r="F20" s="26" t="s">
        <v>185</v>
      </c>
      <c r="G20" s="24"/>
      <c r="H20" s="24"/>
    </row>
    <row r="21" customFormat="false" ht="79.5" hidden="false" customHeight="true" outlineLevel="0" collapsed="false">
      <c r="A21" s="24"/>
      <c r="B21" s="27" t="s">
        <v>47</v>
      </c>
      <c r="C21" s="28" t="s">
        <v>186</v>
      </c>
      <c r="D21" s="28" t="s">
        <v>187</v>
      </c>
      <c r="E21" s="28" t="s">
        <v>186</v>
      </c>
      <c r="F21" s="28" t="s">
        <v>186</v>
      </c>
      <c r="G21" s="24"/>
      <c r="H21" s="24"/>
    </row>
    <row r="22" customFormat="false" ht="49.5" hidden="false" customHeight="true" outlineLevel="0" collapsed="false">
      <c r="A22" s="19" t="s">
        <v>188</v>
      </c>
      <c r="B22" s="20" t="s">
        <v>189</v>
      </c>
      <c r="C22" s="29" t="n">
        <v>1</v>
      </c>
      <c r="D22" s="29" t="n">
        <v>1</v>
      </c>
      <c r="E22" s="21" t="n">
        <v>2</v>
      </c>
      <c r="F22" s="22" t="n">
        <v>3</v>
      </c>
      <c r="G22" s="23" t="s">
        <v>190</v>
      </c>
      <c r="H22" s="23" t="s">
        <v>191</v>
      </c>
    </row>
    <row r="23" customFormat="false" ht="24" hidden="false" customHeight="true" outlineLevel="0" collapsed="false">
      <c r="A23" s="24"/>
      <c r="B23" s="25" t="s">
        <v>42</v>
      </c>
      <c r="C23" s="26" t="s">
        <v>192</v>
      </c>
      <c r="D23" s="26" t="s">
        <v>193</v>
      </c>
      <c r="E23" s="26" t="s">
        <v>194</v>
      </c>
      <c r="F23" s="26" t="s">
        <v>195</v>
      </c>
      <c r="G23" s="24"/>
      <c r="H23" s="24"/>
    </row>
    <row r="24" customFormat="false" ht="79.5" hidden="false" customHeight="true" outlineLevel="0" collapsed="false">
      <c r="A24" s="24"/>
      <c r="B24" s="27" t="s">
        <v>47</v>
      </c>
      <c r="C24" s="28" t="s">
        <v>196</v>
      </c>
      <c r="D24" s="28" t="s">
        <v>197</v>
      </c>
      <c r="E24" s="28" t="s">
        <v>198</v>
      </c>
      <c r="F24" s="28" t="s">
        <v>199</v>
      </c>
      <c r="G24" s="24"/>
      <c r="H24" s="24"/>
    </row>
    <row r="25" customFormat="false" ht="49.5" hidden="false" customHeight="true" outlineLevel="0" collapsed="false">
      <c r="A25" s="19" t="s">
        <v>200</v>
      </c>
      <c r="B25" s="20" t="s">
        <v>201</v>
      </c>
      <c r="C25" s="21" t="n">
        <v>2</v>
      </c>
      <c r="D25" s="21" t="n">
        <v>2</v>
      </c>
      <c r="E25" s="21" t="n">
        <v>2</v>
      </c>
      <c r="F25" s="21" t="n">
        <v>2</v>
      </c>
      <c r="G25" s="23" t="s">
        <v>202</v>
      </c>
      <c r="H25" s="23" t="s">
        <v>203</v>
      </c>
    </row>
    <row r="26" customFormat="false" ht="24" hidden="false" customHeight="true" outlineLevel="0" collapsed="false">
      <c r="A26" s="24"/>
      <c r="B26" s="25" t="s">
        <v>42</v>
      </c>
      <c r="C26" s="26" t="s">
        <v>204</v>
      </c>
      <c r="D26" s="26" t="s">
        <v>205</v>
      </c>
      <c r="E26" s="26" t="s">
        <v>206</v>
      </c>
      <c r="F26" s="26" t="s">
        <v>207</v>
      </c>
      <c r="G26" s="24"/>
      <c r="H26" s="24"/>
    </row>
    <row r="27" customFormat="false" ht="79.5" hidden="false" customHeight="true" outlineLevel="0" collapsed="false">
      <c r="A27" s="24"/>
      <c r="B27" s="27" t="s">
        <v>47</v>
      </c>
      <c r="C27" s="28" t="s">
        <v>208</v>
      </c>
      <c r="D27" s="28" t="s">
        <v>209</v>
      </c>
      <c r="E27" s="28" t="s">
        <v>210</v>
      </c>
      <c r="F27" s="28" t="s">
        <v>211</v>
      </c>
      <c r="G27" s="24"/>
      <c r="H27" s="24"/>
    </row>
    <row r="29" customFormat="false" ht="31.5" hidden="false" customHeight="true" outlineLevel="0" collapsed="false">
      <c r="B29" s="31" t="s">
        <v>212</v>
      </c>
      <c r="C29" s="32" t="n">
        <f aca="false">SUM(C4,C7,C10,C13,C16,C19,C22,C25)</f>
        <v>13</v>
      </c>
      <c r="D29" s="32" t="n">
        <f aca="false">SUM(D4,D7,D10,D13,D16,D19,D22,D25)</f>
        <v>11</v>
      </c>
      <c r="E29" s="32" t="n">
        <f aca="false">SUM(E4,E7,E10,E13,E16,E19,E22,E25)</f>
        <v>16</v>
      </c>
      <c r="F29" s="32" t="n">
        <f aca="false">SUM(F4,F7,F10,F13,F16,F19,F22,F25)</f>
        <v>20</v>
      </c>
      <c r="G29" s="33" t="s">
        <v>213</v>
      </c>
      <c r="H29" s="33"/>
    </row>
  </sheetData>
  <mergeCells count="2">
    <mergeCell ref="A1:H1"/>
    <mergeCell ref="G29:H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8"/>
    <col collapsed="false" customWidth="true" hidden="false" outlineLevel="0" max="6" min="3" style="0" width="8"/>
    <col collapsed="false" customWidth="true" hidden="false" outlineLevel="0" max="7" min="7" style="0" width="40"/>
    <col collapsed="false" customWidth="true" hidden="false" outlineLevel="0" max="8" min="8" style="0" width="45"/>
  </cols>
  <sheetData>
    <row r="1" customFormat="false" ht="17.35" hidden="false" customHeight="false" outlineLevel="0" collapsed="false">
      <c r="A1" s="18" t="s">
        <v>214</v>
      </c>
      <c r="B1" s="18"/>
      <c r="C1" s="18"/>
      <c r="D1" s="18"/>
      <c r="E1" s="18"/>
      <c r="F1" s="18"/>
      <c r="G1" s="18"/>
      <c r="H1" s="18"/>
    </row>
    <row r="3" customFormat="false" ht="27.75" hidden="false" customHeight="true" outlineLevel="0" collapsed="false">
      <c r="A3" s="8" t="s">
        <v>34</v>
      </c>
      <c r="B3" s="8" t="s">
        <v>35</v>
      </c>
      <c r="C3" s="8" t="s">
        <v>22</v>
      </c>
      <c r="D3" s="8" t="s">
        <v>23</v>
      </c>
      <c r="E3" s="8" t="s">
        <v>24</v>
      </c>
      <c r="F3" s="8" t="s">
        <v>25</v>
      </c>
      <c r="G3" s="8" t="s">
        <v>36</v>
      </c>
      <c r="H3" s="8" t="s">
        <v>37</v>
      </c>
    </row>
    <row r="4" customFormat="false" ht="49.5" hidden="false" customHeight="true" outlineLevel="0" collapsed="false">
      <c r="A4" s="19" t="s">
        <v>215</v>
      </c>
      <c r="B4" s="20" t="s">
        <v>216</v>
      </c>
      <c r="C4" s="30" t="n">
        <v>0</v>
      </c>
      <c r="D4" s="30" t="n">
        <v>0</v>
      </c>
      <c r="E4" s="30" t="n">
        <v>0</v>
      </c>
      <c r="F4" s="21" t="n">
        <v>2</v>
      </c>
      <c r="G4" s="23" t="s">
        <v>217</v>
      </c>
      <c r="H4" s="23" t="s">
        <v>218</v>
      </c>
    </row>
    <row r="5" customFormat="false" ht="24" hidden="false" customHeight="true" outlineLevel="0" collapsed="false">
      <c r="A5" s="24"/>
      <c r="B5" s="25" t="s">
        <v>42</v>
      </c>
      <c r="C5" s="26" t="s">
        <v>219</v>
      </c>
      <c r="D5" s="26" t="s">
        <v>219</v>
      </c>
      <c r="E5" s="26" t="s">
        <v>219</v>
      </c>
      <c r="F5" s="26" t="s">
        <v>220</v>
      </c>
      <c r="G5" s="24"/>
      <c r="H5" s="24"/>
    </row>
    <row r="6" customFormat="false" ht="79.5" hidden="false" customHeight="true" outlineLevel="0" collapsed="false">
      <c r="A6" s="24"/>
      <c r="B6" s="27" t="s">
        <v>47</v>
      </c>
      <c r="C6" s="28" t="s">
        <v>221</v>
      </c>
      <c r="D6" s="28" t="s">
        <v>221</v>
      </c>
      <c r="E6" s="28" t="s">
        <v>222</v>
      </c>
      <c r="F6" s="28" t="s">
        <v>223</v>
      </c>
      <c r="G6" s="24"/>
      <c r="H6" s="24"/>
    </row>
    <row r="7" customFormat="false" ht="49.5" hidden="false" customHeight="true" outlineLevel="0" collapsed="false">
      <c r="A7" s="19" t="s">
        <v>224</v>
      </c>
      <c r="B7" s="20" t="s">
        <v>225</v>
      </c>
      <c r="C7" s="30" t="n">
        <v>0</v>
      </c>
      <c r="D7" s="30" t="n">
        <v>0</v>
      </c>
      <c r="E7" s="30" t="n">
        <v>0</v>
      </c>
      <c r="F7" s="30" t="n">
        <v>0</v>
      </c>
      <c r="G7" s="23" t="s">
        <v>226</v>
      </c>
      <c r="H7" s="23" t="s">
        <v>227</v>
      </c>
    </row>
    <row r="8" customFormat="false" ht="24" hidden="false" customHeight="true" outlineLevel="0" collapsed="false">
      <c r="A8" s="24"/>
      <c r="B8" s="25" t="s">
        <v>42</v>
      </c>
      <c r="C8" s="26" t="s">
        <v>228</v>
      </c>
      <c r="D8" s="26" t="s">
        <v>229</v>
      </c>
      <c r="E8" s="26" t="s">
        <v>230</v>
      </c>
      <c r="F8" s="26" t="s">
        <v>231</v>
      </c>
      <c r="G8" s="24"/>
      <c r="H8" s="24"/>
    </row>
    <row r="9" customFormat="false" ht="79.5" hidden="false" customHeight="true" outlineLevel="0" collapsed="false">
      <c r="A9" s="24"/>
      <c r="B9" s="27" t="s">
        <v>47</v>
      </c>
      <c r="C9" s="28" t="s">
        <v>232</v>
      </c>
      <c r="D9" s="28" t="s">
        <v>232</v>
      </c>
      <c r="E9" s="28" t="s">
        <v>233</v>
      </c>
      <c r="F9" s="28" t="s">
        <v>234</v>
      </c>
      <c r="G9" s="24"/>
      <c r="H9" s="24"/>
    </row>
    <row r="10" customFormat="false" ht="49.5" hidden="false" customHeight="true" outlineLevel="0" collapsed="false">
      <c r="A10" s="19" t="s">
        <v>235</v>
      </c>
      <c r="B10" s="20" t="s">
        <v>236</v>
      </c>
      <c r="C10" s="30" t="n">
        <v>0</v>
      </c>
      <c r="D10" s="30" t="n">
        <v>0</v>
      </c>
      <c r="E10" s="30" t="n">
        <v>0</v>
      </c>
      <c r="F10" s="21" t="n">
        <v>2</v>
      </c>
      <c r="G10" s="23" t="s">
        <v>237</v>
      </c>
      <c r="H10" s="23" t="s">
        <v>227</v>
      </c>
    </row>
    <row r="11" customFormat="false" ht="24" hidden="false" customHeight="true" outlineLevel="0" collapsed="false">
      <c r="A11" s="24"/>
      <c r="B11" s="25" t="s">
        <v>42</v>
      </c>
      <c r="C11" s="26" t="s">
        <v>219</v>
      </c>
      <c r="D11" s="26" t="s">
        <v>219</v>
      </c>
      <c r="E11" s="26" t="s">
        <v>219</v>
      </c>
      <c r="F11" s="26" t="s">
        <v>238</v>
      </c>
      <c r="G11" s="24"/>
      <c r="H11" s="24"/>
    </row>
    <row r="12" customFormat="false" ht="79.5" hidden="false" customHeight="true" outlineLevel="0" collapsed="false">
      <c r="A12" s="24"/>
      <c r="B12" s="27" t="s">
        <v>47</v>
      </c>
      <c r="C12" s="28" t="s">
        <v>239</v>
      </c>
      <c r="D12" s="28" t="s">
        <v>239</v>
      </c>
      <c r="E12" s="28" t="s">
        <v>239</v>
      </c>
      <c r="F12" s="28" t="s">
        <v>240</v>
      </c>
      <c r="G12" s="24"/>
      <c r="H12" s="24"/>
    </row>
    <row r="13" customFormat="false" ht="49.5" hidden="false" customHeight="true" outlineLevel="0" collapsed="false">
      <c r="A13" s="19" t="s">
        <v>241</v>
      </c>
      <c r="B13" s="20" t="s">
        <v>242</v>
      </c>
      <c r="C13" s="30" t="n">
        <v>0</v>
      </c>
      <c r="D13" s="29" t="n">
        <v>1</v>
      </c>
      <c r="E13" s="29" t="n">
        <v>1</v>
      </c>
      <c r="F13" s="30" t="n">
        <v>0</v>
      </c>
      <c r="G13" s="23" t="s">
        <v>243</v>
      </c>
      <c r="H13" s="23" t="s">
        <v>244</v>
      </c>
    </row>
    <row r="14" customFormat="false" ht="24" hidden="false" customHeight="true" outlineLevel="0" collapsed="false">
      <c r="A14" s="24"/>
      <c r="B14" s="25" t="s">
        <v>42</v>
      </c>
      <c r="C14" s="26" t="s">
        <v>219</v>
      </c>
      <c r="D14" s="26" t="s">
        <v>245</v>
      </c>
      <c r="E14" s="26" t="s">
        <v>246</v>
      </c>
      <c r="F14" s="26" t="s">
        <v>219</v>
      </c>
      <c r="G14" s="24"/>
      <c r="H14" s="24"/>
    </row>
    <row r="15" customFormat="false" ht="79.5" hidden="false" customHeight="true" outlineLevel="0" collapsed="false">
      <c r="A15" s="24"/>
      <c r="B15" s="27" t="s">
        <v>47</v>
      </c>
      <c r="C15" s="28" t="s">
        <v>247</v>
      </c>
      <c r="D15" s="28" t="s">
        <v>248</v>
      </c>
      <c r="E15" s="28" t="s">
        <v>249</v>
      </c>
      <c r="F15" s="28" t="s">
        <v>247</v>
      </c>
      <c r="G15" s="24"/>
      <c r="H15" s="24"/>
    </row>
    <row r="16" customFormat="false" ht="49.5" hidden="false" customHeight="true" outlineLevel="0" collapsed="false">
      <c r="A16" s="19" t="s">
        <v>250</v>
      </c>
      <c r="B16" s="20" t="s">
        <v>251</v>
      </c>
      <c r="C16" s="21" t="n">
        <v>2</v>
      </c>
      <c r="D16" s="22" t="n">
        <v>3</v>
      </c>
      <c r="E16" s="21" t="n">
        <v>2</v>
      </c>
      <c r="F16" s="21" t="n">
        <v>2</v>
      </c>
      <c r="G16" s="23" t="s">
        <v>252</v>
      </c>
      <c r="H16" s="23" t="s">
        <v>253</v>
      </c>
    </row>
    <row r="17" customFormat="false" ht="24" hidden="false" customHeight="true" outlineLevel="0" collapsed="false">
      <c r="A17" s="24"/>
      <c r="B17" s="25" t="s">
        <v>42</v>
      </c>
      <c r="C17" s="26" t="s">
        <v>254</v>
      </c>
      <c r="D17" s="26" t="s">
        <v>229</v>
      </c>
      <c r="E17" s="26" t="s">
        <v>255</v>
      </c>
      <c r="F17" s="26" t="s">
        <v>256</v>
      </c>
      <c r="G17" s="24"/>
      <c r="H17" s="24"/>
    </row>
    <row r="18" customFormat="false" ht="79.5" hidden="false" customHeight="true" outlineLevel="0" collapsed="false">
      <c r="A18" s="24"/>
      <c r="B18" s="27" t="s">
        <v>47</v>
      </c>
      <c r="C18" s="28" t="s">
        <v>257</v>
      </c>
      <c r="D18" s="28" t="s">
        <v>258</v>
      </c>
      <c r="E18" s="28" t="s">
        <v>257</v>
      </c>
      <c r="F18" s="28" t="s">
        <v>257</v>
      </c>
      <c r="G18" s="24"/>
      <c r="H18" s="24"/>
    </row>
    <row r="19" customFormat="false" ht="49.5" hidden="false" customHeight="true" outlineLevel="0" collapsed="false">
      <c r="A19" s="19" t="s">
        <v>259</v>
      </c>
      <c r="B19" s="20" t="s">
        <v>260</v>
      </c>
      <c r="C19" s="29" t="n">
        <v>1</v>
      </c>
      <c r="D19" s="22" t="n">
        <v>3</v>
      </c>
      <c r="E19" s="29" t="n">
        <v>1</v>
      </c>
      <c r="F19" s="29" t="n">
        <v>1</v>
      </c>
      <c r="G19" s="23" t="s">
        <v>261</v>
      </c>
      <c r="H19" s="23" t="s">
        <v>262</v>
      </c>
    </row>
    <row r="20" customFormat="false" ht="24" hidden="false" customHeight="true" outlineLevel="0" collapsed="false">
      <c r="A20" s="24"/>
      <c r="B20" s="25" t="s">
        <v>42</v>
      </c>
      <c r="C20" s="26" t="s">
        <v>254</v>
      </c>
      <c r="D20" s="26" t="s">
        <v>229</v>
      </c>
      <c r="E20" s="26" t="s">
        <v>255</v>
      </c>
      <c r="F20" s="26" t="s">
        <v>256</v>
      </c>
      <c r="G20" s="24"/>
      <c r="H20" s="24"/>
    </row>
    <row r="21" customFormat="false" ht="79.5" hidden="false" customHeight="true" outlineLevel="0" collapsed="false">
      <c r="A21" s="24"/>
      <c r="B21" s="27" t="s">
        <v>47</v>
      </c>
      <c r="C21" s="28" t="s">
        <v>263</v>
      </c>
      <c r="D21" s="28" t="s">
        <v>264</v>
      </c>
      <c r="E21" s="28" t="s">
        <v>263</v>
      </c>
      <c r="F21" s="28" t="s">
        <v>263</v>
      </c>
      <c r="G21" s="24"/>
      <c r="H21" s="24"/>
    </row>
    <row r="22" customFormat="false" ht="49.5" hidden="false" customHeight="true" outlineLevel="0" collapsed="false">
      <c r="A22" s="19" t="s">
        <v>265</v>
      </c>
      <c r="B22" s="20" t="s">
        <v>266</v>
      </c>
      <c r="C22" s="29" t="n">
        <v>1</v>
      </c>
      <c r="D22" s="30" t="n">
        <v>0</v>
      </c>
      <c r="E22" s="29" t="n">
        <v>1</v>
      </c>
      <c r="F22" s="22" t="n">
        <v>3</v>
      </c>
      <c r="G22" s="23" t="s">
        <v>267</v>
      </c>
      <c r="H22" s="23" t="s">
        <v>268</v>
      </c>
    </row>
    <row r="23" customFormat="false" ht="24" hidden="false" customHeight="true" outlineLevel="0" collapsed="false">
      <c r="A23" s="24"/>
      <c r="B23" s="25" t="s">
        <v>42</v>
      </c>
      <c r="C23" s="26" t="s">
        <v>269</v>
      </c>
      <c r="D23" s="26" t="s">
        <v>270</v>
      </c>
      <c r="E23" s="26" t="s">
        <v>271</v>
      </c>
      <c r="F23" s="26" t="s">
        <v>272</v>
      </c>
      <c r="G23" s="24"/>
      <c r="H23" s="24"/>
    </row>
    <row r="24" customFormat="false" ht="79.5" hidden="false" customHeight="true" outlineLevel="0" collapsed="false">
      <c r="A24" s="24"/>
      <c r="B24" s="27" t="s">
        <v>47</v>
      </c>
      <c r="C24" s="28" t="s">
        <v>273</v>
      </c>
      <c r="D24" s="28" t="s">
        <v>274</v>
      </c>
      <c r="E24" s="28" t="s">
        <v>275</v>
      </c>
      <c r="F24" s="28" t="s">
        <v>276</v>
      </c>
      <c r="G24" s="24"/>
      <c r="H24" s="24"/>
    </row>
    <row r="26" customFormat="false" ht="31.5" hidden="false" customHeight="true" outlineLevel="0" collapsed="false">
      <c r="B26" s="31" t="s">
        <v>277</v>
      </c>
      <c r="C26" s="32" t="n">
        <f aca="false">SUM(C4,C7,C10,C13,C16,C19,C22)</f>
        <v>4</v>
      </c>
      <c r="D26" s="32" t="n">
        <f aca="false">SUM(D4,D7,D10,D13,D16,D19,D22)</f>
        <v>7</v>
      </c>
      <c r="E26" s="32" t="n">
        <f aca="false">SUM(E4,E7,E10,E13,E16,E19,E22)</f>
        <v>5</v>
      </c>
      <c r="F26" s="32" t="n">
        <f aca="false">SUM(F4,F7,F10,F13,F16,F19,F22)</f>
        <v>10</v>
      </c>
      <c r="G26" s="33" t="s">
        <v>121</v>
      </c>
      <c r="H26" s="33"/>
    </row>
  </sheetData>
  <mergeCells count="2">
    <mergeCell ref="A1:H1"/>
    <mergeCell ref="G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6"/>
    <col collapsed="false" customWidth="true" hidden="false" outlineLevel="0" max="4" min="4" style="0" width="8"/>
    <col collapsed="false" customWidth="true" hidden="false" outlineLevel="0" max="5" min="5" style="0" width="18"/>
    <col collapsed="false" customWidth="true" hidden="false" outlineLevel="0" max="6" min="6" style="0" width="8"/>
    <col collapsed="false" customWidth="true" hidden="false" outlineLevel="0" max="7" min="7" style="0" width="24"/>
    <col collapsed="false" customWidth="true" hidden="false" outlineLevel="0" max="8" min="8" style="0" width="60"/>
    <col collapsed="false" customWidth="true" hidden="false" outlineLevel="0" max="9" min="9" style="0" width="45"/>
  </cols>
  <sheetData>
    <row r="1" customFormat="false" ht="17.35" hidden="false" customHeight="false" outlineLevel="0" collapsed="false">
      <c r="A1" s="18" t="s">
        <v>278</v>
      </c>
      <c r="B1" s="18"/>
      <c r="C1" s="18"/>
      <c r="D1" s="18"/>
      <c r="E1" s="18"/>
      <c r="F1" s="18"/>
      <c r="G1" s="18"/>
      <c r="H1" s="18"/>
      <c r="I1" s="18"/>
    </row>
    <row r="2" customFormat="false" ht="15" hidden="false" customHeight="false" outlineLevel="0" collapsed="false">
      <c r="A2" s="34" t="s">
        <v>279</v>
      </c>
      <c r="B2" s="34"/>
      <c r="C2" s="34"/>
      <c r="D2" s="34"/>
      <c r="E2" s="34"/>
      <c r="F2" s="34"/>
      <c r="G2" s="34"/>
      <c r="H2" s="34"/>
      <c r="I2" s="34"/>
    </row>
    <row r="4" customFormat="false" ht="27.75" hidden="false" customHeight="true" outlineLevel="0" collapsed="false">
      <c r="A4" s="8" t="s">
        <v>280</v>
      </c>
      <c r="B4" s="8" t="s">
        <v>281</v>
      </c>
      <c r="C4" s="8" t="s">
        <v>282</v>
      </c>
      <c r="D4" s="8" t="s">
        <v>283</v>
      </c>
      <c r="E4" s="8" t="s">
        <v>284</v>
      </c>
      <c r="F4" s="8" t="s">
        <v>285</v>
      </c>
      <c r="G4" s="8" t="s">
        <v>286</v>
      </c>
      <c r="H4" s="8" t="s">
        <v>287</v>
      </c>
      <c r="I4" s="8" t="s">
        <v>288</v>
      </c>
    </row>
    <row r="5" customFormat="false" ht="49.5" hidden="false" customHeight="true" outlineLevel="0" collapsed="false">
      <c r="A5" s="19" t="s">
        <v>38</v>
      </c>
      <c r="B5" s="35" t="s">
        <v>27</v>
      </c>
      <c r="C5" s="23" t="s">
        <v>39</v>
      </c>
      <c r="D5" s="19" t="s">
        <v>22</v>
      </c>
      <c r="E5" s="23" t="s">
        <v>289</v>
      </c>
      <c r="F5" s="21" t="n">
        <v>2</v>
      </c>
      <c r="G5" s="36" t="s">
        <v>43</v>
      </c>
      <c r="H5" s="37" t="s">
        <v>48</v>
      </c>
      <c r="I5" s="38" t="s">
        <v>41</v>
      </c>
    </row>
    <row r="6" customFormat="false" ht="49.5" hidden="false" customHeight="true" outlineLevel="0" collapsed="false">
      <c r="A6" s="19" t="s">
        <v>38</v>
      </c>
      <c r="B6" s="35" t="s">
        <v>27</v>
      </c>
      <c r="C6" s="23" t="s">
        <v>39</v>
      </c>
      <c r="D6" s="19" t="s">
        <v>23</v>
      </c>
      <c r="E6" s="23" t="s">
        <v>290</v>
      </c>
      <c r="F6" s="22" t="n">
        <v>3</v>
      </c>
      <c r="G6" s="36" t="s">
        <v>44</v>
      </c>
      <c r="H6" s="37" t="s">
        <v>49</v>
      </c>
      <c r="I6" s="38" t="s">
        <v>41</v>
      </c>
    </row>
    <row r="7" customFormat="false" ht="49.5" hidden="false" customHeight="true" outlineLevel="0" collapsed="false">
      <c r="A7" s="19" t="s">
        <v>38</v>
      </c>
      <c r="B7" s="35" t="s">
        <v>27</v>
      </c>
      <c r="C7" s="23" t="s">
        <v>39</v>
      </c>
      <c r="D7" s="19" t="s">
        <v>24</v>
      </c>
      <c r="E7" s="23" t="s">
        <v>291</v>
      </c>
      <c r="F7" s="22" t="n">
        <v>3</v>
      </c>
      <c r="G7" s="36" t="s">
        <v>45</v>
      </c>
      <c r="H7" s="37" t="s">
        <v>50</v>
      </c>
      <c r="I7" s="38" t="s">
        <v>41</v>
      </c>
    </row>
    <row r="8" customFormat="false" ht="49.5" hidden="false" customHeight="true" outlineLevel="0" collapsed="false">
      <c r="A8" s="19" t="s">
        <v>38</v>
      </c>
      <c r="B8" s="35" t="s">
        <v>27</v>
      </c>
      <c r="C8" s="23" t="s">
        <v>39</v>
      </c>
      <c r="D8" s="19" t="s">
        <v>25</v>
      </c>
      <c r="E8" s="23" t="s">
        <v>292</v>
      </c>
      <c r="F8" s="22" t="n">
        <v>3</v>
      </c>
      <c r="G8" s="36" t="s">
        <v>46</v>
      </c>
      <c r="H8" s="37" t="s">
        <v>51</v>
      </c>
      <c r="I8" s="38" t="s">
        <v>41</v>
      </c>
    </row>
    <row r="9" customFormat="false" ht="49.5" hidden="false" customHeight="true" outlineLevel="0" collapsed="false">
      <c r="A9" s="19" t="s">
        <v>52</v>
      </c>
      <c r="B9" s="35" t="s">
        <v>27</v>
      </c>
      <c r="C9" s="23" t="s">
        <v>53</v>
      </c>
      <c r="D9" s="19" t="s">
        <v>22</v>
      </c>
      <c r="E9" s="23" t="s">
        <v>289</v>
      </c>
      <c r="F9" s="21" t="n">
        <v>2</v>
      </c>
      <c r="G9" s="36" t="s">
        <v>56</v>
      </c>
      <c r="H9" s="37" t="s">
        <v>60</v>
      </c>
      <c r="I9" s="38" t="s">
        <v>55</v>
      </c>
    </row>
    <row r="10" customFormat="false" ht="49.5" hidden="false" customHeight="true" outlineLevel="0" collapsed="false">
      <c r="A10" s="19" t="s">
        <v>52</v>
      </c>
      <c r="B10" s="35" t="s">
        <v>27</v>
      </c>
      <c r="C10" s="23" t="s">
        <v>53</v>
      </c>
      <c r="D10" s="19" t="s">
        <v>23</v>
      </c>
      <c r="E10" s="23" t="s">
        <v>290</v>
      </c>
      <c r="F10" s="21" t="n">
        <v>2</v>
      </c>
      <c r="G10" s="36" t="s">
        <v>57</v>
      </c>
      <c r="H10" s="37" t="s">
        <v>61</v>
      </c>
      <c r="I10" s="38" t="s">
        <v>55</v>
      </c>
    </row>
    <row r="11" customFormat="false" ht="49.5" hidden="false" customHeight="true" outlineLevel="0" collapsed="false">
      <c r="A11" s="19" t="s">
        <v>52</v>
      </c>
      <c r="B11" s="35" t="s">
        <v>27</v>
      </c>
      <c r="C11" s="23" t="s">
        <v>53</v>
      </c>
      <c r="D11" s="19" t="s">
        <v>24</v>
      </c>
      <c r="E11" s="23" t="s">
        <v>291</v>
      </c>
      <c r="F11" s="21" t="n">
        <v>2</v>
      </c>
      <c r="G11" s="36" t="s">
        <v>58</v>
      </c>
      <c r="H11" s="37" t="s">
        <v>62</v>
      </c>
      <c r="I11" s="38" t="s">
        <v>55</v>
      </c>
    </row>
    <row r="12" customFormat="false" ht="49.5" hidden="false" customHeight="true" outlineLevel="0" collapsed="false">
      <c r="A12" s="19" t="s">
        <v>52</v>
      </c>
      <c r="B12" s="35" t="s">
        <v>27</v>
      </c>
      <c r="C12" s="23" t="s">
        <v>53</v>
      </c>
      <c r="D12" s="19" t="s">
        <v>25</v>
      </c>
      <c r="E12" s="23" t="s">
        <v>292</v>
      </c>
      <c r="F12" s="21" t="n">
        <v>2</v>
      </c>
      <c r="G12" s="36" t="s">
        <v>59</v>
      </c>
      <c r="H12" s="37" t="s">
        <v>63</v>
      </c>
      <c r="I12" s="38" t="s">
        <v>55</v>
      </c>
    </row>
    <row r="13" customFormat="false" ht="49.5" hidden="false" customHeight="true" outlineLevel="0" collapsed="false">
      <c r="A13" s="19" t="s">
        <v>64</v>
      </c>
      <c r="B13" s="35" t="s">
        <v>27</v>
      </c>
      <c r="C13" s="23" t="s">
        <v>65</v>
      </c>
      <c r="D13" s="19" t="s">
        <v>22</v>
      </c>
      <c r="E13" s="23" t="s">
        <v>289</v>
      </c>
      <c r="F13" s="29" t="n">
        <v>1</v>
      </c>
      <c r="G13" s="36" t="s">
        <v>68</v>
      </c>
      <c r="H13" s="37" t="s">
        <v>72</v>
      </c>
      <c r="I13" s="38" t="s">
        <v>67</v>
      </c>
    </row>
    <row r="14" customFormat="false" ht="49.5" hidden="false" customHeight="true" outlineLevel="0" collapsed="false">
      <c r="A14" s="19" t="s">
        <v>64</v>
      </c>
      <c r="B14" s="35" t="s">
        <v>27</v>
      </c>
      <c r="C14" s="23" t="s">
        <v>65</v>
      </c>
      <c r="D14" s="19" t="s">
        <v>23</v>
      </c>
      <c r="E14" s="23" t="s">
        <v>290</v>
      </c>
      <c r="F14" s="29" t="n">
        <v>1</v>
      </c>
      <c r="G14" s="36" t="s">
        <v>69</v>
      </c>
      <c r="H14" s="37" t="s">
        <v>73</v>
      </c>
      <c r="I14" s="38" t="s">
        <v>67</v>
      </c>
    </row>
    <row r="15" customFormat="false" ht="49.5" hidden="false" customHeight="true" outlineLevel="0" collapsed="false">
      <c r="A15" s="19" t="s">
        <v>64</v>
      </c>
      <c r="B15" s="35" t="s">
        <v>27</v>
      </c>
      <c r="C15" s="23" t="s">
        <v>65</v>
      </c>
      <c r="D15" s="19" t="s">
        <v>24</v>
      </c>
      <c r="E15" s="23" t="s">
        <v>291</v>
      </c>
      <c r="F15" s="29" t="n">
        <v>1</v>
      </c>
      <c r="G15" s="36" t="s">
        <v>70</v>
      </c>
      <c r="H15" s="37" t="s">
        <v>74</v>
      </c>
      <c r="I15" s="38" t="s">
        <v>67</v>
      </c>
    </row>
    <row r="16" customFormat="false" ht="49.5" hidden="false" customHeight="true" outlineLevel="0" collapsed="false">
      <c r="A16" s="19" t="s">
        <v>64</v>
      </c>
      <c r="B16" s="35" t="s">
        <v>27</v>
      </c>
      <c r="C16" s="23" t="s">
        <v>65</v>
      </c>
      <c r="D16" s="19" t="s">
        <v>25</v>
      </c>
      <c r="E16" s="23" t="s">
        <v>292</v>
      </c>
      <c r="F16" s="29" t="n">
        <v>1</v>
      </c>
      <c r="G16" s="36" t="s">
        <v>71</v>
      </c>
      <c r="H16" s="37" t="s">
        <v>75</v>
      </c>
      <c r="I16" s="38" t="s">
        <v>67</v>
      </c>
    </row>
    <row r="17" customFormat="false" ht="49.5" hidden="false" customHeight="true" outlineLevel="0" collapsed="false">
      <c r="A17" s="19" t="s">
        <v>76</v>
      </c>
      <c r="B17" s="35" t="s">
        <v>27</v>
      </c>
      <c r="C17" s="23" t="s">
        <v>77</v>
      </c>
      <c r="D17" s="19" t="s">
        <v>22</v>
      </c>
      <c r="E17" s="23" t="s">
        <v>289</v>
      </c>
      <c r="F17" s="21" t="n">
        <v>2</v>
      </c>
      <c r="G17" s="36" t="s">
        <v>80</v>
      </c>
      <c r="H17" s="37" t="s">
        <v>84</v>
      </c>
      <c r="I17" s="38" t="s">
        <v>79</v>
      </c>
    </row>
    <row r="18" customFormat="false" ht="49.5" hidden="false" customHeight="true" outlineLevel="0" collapsed="false">
      <c r="A18" s="19" t="s">
        <v>76</v>
      </c>
      <c r="B18" s="35" t="s">
        <v>27</v>
      </c>
      <c r="C18" s="23" t="s">
        <v>77</v>
      </c>
      <c r="D18" s="19" t="s">
        <v>23</v>
      </c>
      <c r="E18" s="23" t="s">
        <v>290</v>
      </c>
      <c r="F18" s="29" t="n">
        <v>1</v>
      </c>
      <c r="G18" s="36" t="s">
        <v>81</v>
      </c>
      <c r="H18" s="37" t="s">
        <v>85</v>
      </c>
      <c r="I18" s="38" t="s">
        <v>79</v>
      </c>
    </row>
    <row r="19" customFormat="false" ht="49.5" hidden="false" customHeight="true" outlineLevel="0" collapsed="false">
      <c r="A19" s="19" t="s">
        <v>76</v>
      </c>
      <c r="B19" s="35" t="s">
        <v>27</v>
      </c>
      <c r="C19" s="23" t="s">
        <v>77</v>
      </c>
      <c r="D19" s="19" t="s">
        <v>24</v>
      </c>
      <c r="E19" s="23" t="s">
        <v>291</v>
      </c>
      <c r="F19" s="29" t="n">
        <v>1</v>
      </c>
      <c r="G19" s="36" t="s">
        <v>82</v>
      </c>
      <c r="H19" s="37" t="s">
        <v>86</v>
      </c>
      <c r="I19" s="38" t="s">
        <v>79</v>
      </c>
    </row>
    <row r="20" customFormat="false" ht="49.5" hidden="false" customHeight="true" outlineLevel="0" collapsed="false">
      <c r="A20" s="19" t="s">
        <v>76</v>
      </c>
      <c r="B20" s="35" t="s">
        <v>27</v>
      </c>
      <c r="C20" s="23" t="s">
        <v>77</v>
      </c>
      <c r="D20" s="19" t="s">
        <v>25</v>
      </c>
      <c r="E20" s="23" t="s">
        <v>292</v>
      </c>
      <c r="F20" s="22" t="n">
        <v>3</v>
      </c>
      <c r="G20" s="36" t="s">
        <v>83</v>
      </c>
      <c r="H20" s="37" t="s">
        <v>87</v>
      </c>
      <c r="I20" s="38" t="s">
        <v>79</v>
      </c>
    </row>
    <row r="21" customFormat="false" ht="49.5" hidden="false" customHeight="true" outlineLevel="0" collapsed="false">
      <c r="A21" s="19" t="s">
        <v>88</v>
      </c>
      <c r="B21" s="35" t="s">
        <v>27</v>
      </c>
      <c r="C21" s="23" t="s">
        <v>89</v>
      </c>
      <c r="D21" s="19" t="s">
        <v>22</v>
      </c>
      <c r="E21" s="23" t="s">
        <v>289</v>
      </c>
      <c r="F21" s="21" t="n">
        <v>2</v>
      </c>
      <c r="G21" s="36" t="s">
        <v>92</v>
      </c>
      <c r="H21" s="37" t="s">
        <v>95</v>
      </c>
      <c r="I21" s="38" t="s">
        <v>91</v>
      </c>
    </row>
    <row r="22" customFormat="false" ht="49.5" hidden="false" customHeight="true" outlineLevel="0" collapsed="false">
      <c r="A22" s="19" t="s">
        <v>88</v>
      </c>
      <c r="B22" s="35" t="s">
        <v>27</v>
      </c>
      <c r="C22" s="23" t="s">
        <v>89</v>
      </c>
      <c r="D22" s="19" t="s">
        <v>23</v>
      </c>
      <c r="E22" s="23" t="s">
        <v>290</v>
      </c>
      <c r="F22" s="30" t="n">
        <v>0</v>
      </c>
      <c r="G22" s="36" t="s">
        <v>93</v>
      </c>
      <c r="H22" s="37" t="s">
        <v>96</v>
      </c>
      <c r="I22" s="38" t="s">
        <v>91</v>
      </c>
    </row>
    <row r="23" customFormat="false" ht="49.5" hidden="false" customHeight="true" outlineLevel="0" collapsed="false">
      <c r="A23" s="19" t="s">
        <v>88</v>
      </c>
      <c r="B23" s="35" t="s">
        <v>27</v>
      </c>
      <c r="C23" s="23" t="s">
        <v>89</v>
      </c>
      <c r="D23" s="19" t="s">
        <v>24</v>
      </c>
      <c r="E23" s="23" t="s">
        <v>291</v>
      </c>
      <c r="F23" s="29" t="n">
        <v>1</v>
      </c>
      <c r="G23" s="36" t="s">
        <v>94</v>
      </c>
      <c r="H23" s="37" t="s">
        <v>97</v>
      </c>
      <c r="I23" s="38" t="s">
        <v>91</v>
      </c>
    </row>
    <row r="24" customFormat="false" ht="49.5" hidden="false" customHeight="true" outlineLevel="0" collapsed="false">
      <c r="A24" s="19" t="s">
        <v>88</v>
      </c>
      <c r="B24" s="35" t="s">
        <v>27</v>
      </c>
      <c r="C24" s="23" t="s">
        <v>89</v>
      </c>
      <c r="D24" s="19" t="s">
        <v>25</v>
      </c>
      <c r="E24" s="23" t="s">
        <v>292</v>
      </c>
      <c r="F24" s="22" t="n">
        <v>3</v>
      </c>
      <c r="G24" s="36" t="s">
        <v>83</v>
      </c>
      <c r="H24" s="37" t="s">
        <v>98</v>
      </c>
      <c r="I24" s="38" t="s">
        <v>91</v>
      </c>
    </row>
    <row r="25" customFormat="false" ht="49.5" hidden="false" customHeight="true" outlineLevel="0" collapsed="false">
      <c r="A25" s="19" t="s">
        <v>99</v>
      </c>
      <c r="B25" s="35" t="s">
        <v>27</v>
      </c>
      <c r="C25" s="23" t="s">
        <v>100</v>
      </c>
      <c r="D25" s="19" t="s">
        <v>22</v>
      </c>
      <c r="E25" s="23" t="s">
        <v>289</v>
      </c>
      <c r="F25" s="21" t="n">
        <v>2</v>
      </c>
      <c r="G25" s="36" t="s">
        <v>103</v>
      </c>
      <c r="H25" s="37" t="s">
        <v>106</v>
      </c>
      <c r="I25" s="38" t="s">
        <v>102</v>
      </c>
    </row>
    <row r="26" customFormat="false" ht="49.5" hidden="false" customHeight="true" outlineLevel="0" collapsed="false">
      <c r="A26" s="19" t="s">
        <v>99</v>
      </c>
      <c r="B26" s="35" t="s">
        <v>27</v>
      </c>
      <c r="C26" s="23" t="s">
        <v>100</v>
      </c>
      <c r="D26" s="19" t="s">
        <v>23</v>
      </c>
      <c r="E26" s="23" t="s">
        <v>290</v>
      </c>
      <c r="F26" s="22" t="n">
        <v>3</v>
      </c>
      <c r="G26" s="36" t="s">
        <v>103</v>
      </c>
      <c r="H26" s="37" t="s">
        <v>107</v>
      </c>
      <c r="I26" s="38" t="s">
        <v>102</v>
      </c>
    </row>
    <row r="27" customFormat="false" ht="49.5" hidden="false" customHeight="true" outlineLevel="0" collapsed="false">
      <c r="A27" s="19" t="s">
        <v>99</v>
      </c>
      <c r="B27" s="35" t="s">
        <v>27</v>
      </c>
      <c r="C27" s="23" t="s">
        <v>100</v>
      </c>
      <c r="D27" s="19" t="s">
        <v>24</v>
      </c>
      <c r="E27" s="23" t="s">
        <v>291</v>
      </c>
      <c r="F27" s="29" t="n">
        <v>1</v>
      </c>
      <c r="G27" s="36" t="s">
        <v>104</v>
      </c>
      <c r="H27" s="37" t="s">
        <v>108</v>
      </c>
      <c r="I27" s="38" t="s">
        <v>102</v>
      </c>
    </row>
    <row r="28" customFormat="false" ht="49.5" hidden="false" customHeight="true" outlineLevel="0" collapsed="false">
      <c r="A28" s="19" t="s">
        <v>99</v>
      </c>
      <c r="B28" s="35" t="s">
        <v>27</v>
      </c>
      <c r="C28" s="23" t="s">
        <v>100</v>
      </c>
      <c r="D28" s="19" t="s">
        <v>25</v>
      </c>
      <c r="E28" s="23" t="s">
        <v>292</v>
      </c>
      <c r="F28" s="21" t="n">
        <v>2</v>
      </c>
      <c r="G28" s="36" t="s">
        <v>105</v>
      </c>
      <c r="H28" s="37" t="s">
        <v>109</v>
      </c>
      <c r="I28" s="38" t="s">
        <v>102</v>
      </c>
    </row>
    <row r="29" customFormat="false" ht="49.5" hidden="false" customHeight="true" outlineLevel="0" collapsed="false">
      <c r="A29" s="19" t="s">
        <v>110</v>
      </c>
      <c r="B29" s="35" t="s">
        <v>27</v>
      </c>
      <c r="C29" s="23" t="s">
        <v>111</v>
      </c>
      <c r="D29" s="19" t="s">
        <v>22</v>
      </c>
      <c r="E29" s="23" t="s">
        <v>289</v>
      </c>
      <c r="F29" s="21" t="n">
        <v>2</v>
      </c>
      <c r="G29" s="36" t="s">
        <v>114</v>
      </c>
      <c r="H29" s="37" t="s">
        <v>116</v>
      </c>
      <c r="I29" s="38" t="s">
        <v>113</v>
      </c>
    </row>
    <row r="30" customFormat="false" ht="49.5" hidden="false" customHeight="true" outlineLevel="0" collapsed="false">
      <c r="A30" s="19" t="s">
        <v>110</v>
      </c>
      <c r="B30" s="35" t="s">
        <v>27</v>
      </c>
      <c r="C30" s="23" t="s">
        <v>111</v>
      </c>
      <c r="D30" s="19" t="s">
        <v>23</v>
      </c>
      <c r="E30" s="23" t="s">
        <v>290</v>
      </c>
      <c r="F30" s="30" t="n">
        <v>0</v>
      </c>
      <c r="G30" s="36" t="s">
        <v>115</v>
      </c>
      <c r="H30" s="37" t="s">
        <v>117</v>
      </c>
      <c r="I30" s="38" t="s">
        <v>113</v>
      </c>
    </row>
    <row r="31" customFormat="false" ht="49.5" hidden="false" customHeight="true" outlineLevel="0" collapsed="false">
      <c r="A31" s="19" t="s">
        <v>110</v>
      </c>
      <c r="B31" s="35" t="s">
        <v>27</v>
      </c>
      <c r="C31" s="23" t="s">
        <v>111</v>
      </c>
      <c r="D31" s="19" t="s">
        <v>24</v>
      </c>
      <c r="E31" s="23" t="s">
        <v>291</v>
      </c>
      <c r="F31" s="21" t="n">
        <v>2</v>
      </c>
      <c r="G31" s="36" t="s">
        <v>114</v>
      </c>
      <c r="H31" s="37" t="s">
        <v>118</v>
      </c>
      <c r="I31" s="38" t="s">
        <v>113</v>
      </c>
    </row>
    <row r="32" customFormat="false" ht="49.5" hidden="false" customHeight="true" outlineLevel="0" collapsed="false">
      <c r="A32" s="19" t="s">
        <v>110</v>
      </c>
      <c r="B32" s="35" t="s">
        <v>27</v>
      </c>
      <c r="C32" s="23" t="s">
        <v>111</v>
      </c>
      <c r="D32" s="19" t="s">
        <v>25</v>
      </c>
      <c r="E32" s="23" t="s">
        <v>292</v>
      </c>
      <c r="F32" s="21" t="n">
        <v>2</v>
      </c>
      <c r="G32" s="36" t="s">
        <v>114</v>
      </c>
      <c r="H32" s="37" t="s">
        <v>119</v>
      </c>
      <c r="I32" s="38" t="s">
        <v>113</v>
      </c>
    </row>
    <row r="33" customFormat="false" ht="49.5" hidden="false" customHeight="true" outlineLevel="0" collapsed="false">
      <c r="A33" s="19" t="s">
        <v>123</v>
      </c>
      <c r="B33" s="39" t="s">
        <v>28</v>
      </c>
      <c r="C33" s="23" t="s">
        <v>124</v>
      </c>
      <c r="D33" s="19" t="s">
        <v>22</v>
      </c>
      <c r="E33" s="23" t="s">
        <v>289</v>
      </c>
      <c r="F33" s="22" t="n">
        <v>3</v>
      </c>
      <c r="G33" s="36" t="s">
        <v>92</v>
      </c>
      <c r="H33" s="37" t="s">
        <v>130</v>
      </c>
      <c r="I33" s="38" t="s">
        <v>126</v>
      </c>
    </row>
    <row r="34" customFormat="false" ht="49.5" hidden="false" customHeight="true" outlineLevel="0" collapsed="false">
      <c r="A34" s="19" t="s">
        <v>123</v>
      </c>
      <c r="B34" s="39" t="s">
        <v>28</v>
      </c>
      <c r="C34" s="23" t="s">
        <v>124</v>
      </c>
      <c r="D34" s="19" t="s">
        <v>23</v>
      </c>
      <c r="E34" s="23" t="s">
        <v>290</v>
      </c>
      <c r="F34" s="29" t="n">
        <v>1</v>
      </c>
      <c r="G34" s="36" t="s">
        <v>127</v>
      </c>
      <c r="H34" s="37" t="s">
        <v>131</v>
      </c>
      <c r="I34" s="38" t="s">
        <v>126</v>
      </c>
    </row>
    <row r="35" customFormat="false" ht="49.5" hidden="false" customHeight="true" outlineLevel="0" collapsed="false">
      <c r="A35" s="19" t="s">
        <v>123</v>
      </c>
      <c r="B35" s="39" t="s">
        <v>28</v>
      </c>
      <c r="C35" s="23" t="s">
        <v>124</v>
      </c>
      <c r="D35" s="19" t="s">
        <v>24</v>
      </c>
      <c r="E35" s="23" t="s">
        <v>291</v>
      </c>
      <c r="F35" s="22" t="n">
        <v>3</v>
      </c>
      <c r="G35" s="36" t="s">
        <v>128</v>
      </c>
      <c r="H35" s="37" t="s">
        <v>132</v>
      </c>
      <c r="I35" s="38" t="s">
        <v>126</v>
      </c>
    </row>
    <row r="36" customFormat="false" ht="49.5" hidden="false" customHeight="true" outlineLevel="0" collapsed="false">
      <c r="A36" s="19" t="s">
        <v>123</v>
      </c>
      <c r="B36" s="39" t="s">
        <v>28</v>
      </c>
      <c r="C36" s="23" t="s">
        <v>124</v>
      </c>
      <c r="D36" s="19" t="s">
        <v>25</v>
      </c>
      <c r="E36" s="23" t="s">
        <v>292</v>
      </c>
      <c r="F36" s="21" t="n">
        <v>2</v>
      </c>
      <c r="G36" s="36" t="s">
        <v>129</v>
      </c>
      <c r="H36" s="37" t="s">
        <v>133</v>
      </c>
      <c r="I36" s="38" t="s">
        <v>126</v>
      </c>
    </row>
    <row r="37" customFormat="false" ht="49.5" hidden="false" customHeight="true" outlineLevel="0" collapsed="false">
      <c r="A37" s="19" t="s">
        <v>134</v>
      </c>
      <c r="B37" s="39" t="s">
        <v>28</v>
      </c>
      <c r="C37" s="23" t="s">
        <v>135</v>
      </c>
      <c r="D37" s="19" t="s">
        <v>22</v>
      </c>
      <c r="E37" s="23" t="s">
        <v>289</v>
      </c>
      <c r="F37" s="22" t="n">
        <v>3</v>
      </c>
      <c r="G37" s="36" t="s">
        <v>138</v>
      </c>
      <c r="H37" s="37" t="s">
        <v>142</v>
      </c>
      <c r="I37" s="38" t="s">
        <v>137</v>
      </c>
    </row>
    <row r="38" customFormat="false" ht="49.5" hidden="false" customHeight="true" outlineLevel="0" collapsed="false">
      <c r="A38" s="19" t="s">
        <v>134</v>
      </c>
      <c r="B38" s="39" t="s">
        <v>28</v>
      </c>
      <c r="C38" s="23" t="s">
        <v>135</v>
      </c>
      <c r="D38" s="19" t="s">
        <v>23</v>
      </c>
      <c r="E38" s="23" t="s">
        <v>290</v>
      </c>
      <c r="F38" s="21" t="n">
        <v>2</v>
      </c>
      <c r="G38" s="36" t="s">
        <v>139</v>
      </c>
      <c r="H38" s="37" t="s">
        <v>143</v>
      </c>
      <c r="I38" s="38" t="s">
        <v>137</v>
      </c>
    </row>
    <row r="39" customFormat="false" ht="49.5" hidden="false" customHeight="true" outlineLevel="0" collapsed="false">
      <c r="A39" s="19" t="s">
        <v>134</v>
      </c>
      <c r="B39" s="39" t="s">
        <v>28</v>
      </c>
      <c r="C39" s="23" t="s">
        <v>135</v>
      </c>
      <c r="D39" s="19" t="s">
        <v>24</v>
      </c>
      <c r="E39" s="23" t="s">
        <v>291</v>
      </c>
      <c r="F39" s="22" t="n">
        <v>3</v>
      </c>
      <c r="G39" s="36" t="s">
        <v>140</v>
      </c>
      <c r="H39" s="37" t="s">
        <v>142</v>
      </c>
      <c r="I39" s="38" t="s">
        <v>137</v>
      </c>
    </row>
    <row r="40" customFormat="false" ht="49.5" hidden="false" customHeight="true" outlineLevel="0" collapsed="false">
      <c r="A40" s="19" t="s">
        <v>134</v>
      </c>
      <c r="B40" s="39" t="s">
        <v>28</v>
      </c>
      <c r="C40" s="23" t="s">
        <v>135</v>
      </c>
      <c r="D40" s="19" t="s">
        <v>25</v>
      </c>
      <c r="E40" s="23" t="s">
        <v>292</v>
      </c>
      <c r="F40" s="22" t="n">
        <v>3</v>
      </c>
      <c r="G40" s="36" t="s">
        <v>141</v>
      </c>
      <c r="H40" s="37" t="s">
        <v>142</v>
      </c>
      <c r="I40" s="38" t="s">
        <v>137</v>
      </c>
    </row>
    <row r="41" customFormat="false" ht="49.5" hidden="false" customHeight="true" outlineLevel="0" collapsed="false">
      <c r="A41" s="19" t="s">
        <v>144</v>
      </c>
      <c r="B41" s="39" t="s">
        <v>28</v>
      </c>
      <c r="C41" s="23" t="s">
        <v>145</v>
      </c>
      <c r="D41" s="19" t="s">
        <v>22</v>
      </c>
      <c r="E41" s="23" t="s">
        <v>289</v>
      </c>
      <c r="F41" s="30" t="n">
        <v>0</v>
      </c>
      <c r="G41" s="36" t="s">
        <v>148</v>
      </c>
      <c r="H41" s="37" t="s">
        <v>152</v>
      </c>
      <c r="I41" s="38" t="s">
        <v>147</v>
      </c>
    </row>
    <row r="42" customFormat="false" ht="49.5" hidden="false" customHeight="true" outlineLevel="0" collapsed="false">
      <c r="A42" s="19" t="s">
        <v>144</v>
      </c>
      <c r="B42" s="39" t="s">
        <v>28</v>
      </c>
      <c r="C42" s="23" t="s">
        <v>145</v>
      </c>
      <c r="D42" s="19" t="s">
        <v>23</v>
      </c>
      <c r="E42" s="23" t="s">
        <v>290</v>
      </c>
      <c r="F42" s="22" t="n">
        <v>3</v>
      </c>
      <c r="G42" s="36" t="s">
        <v>149</v>
      </c>
      <c r="H42" s="37" t="s">
        <v>153</v>
      </c>
      <c r="I42" s="38" t="s">
        <v>147</v>
      </c>
    </row>
    <row r="43" customFormat="false" ht="49.5" hidden="false" customHeight="true" outlineLevel="0" collapsed="false">
      <c r="A43" s="19" t="s">
        <v>144</v>
      </c>
      <c r="B43" s="39" t="s">
        <v>28</v>
      </c>
      <c r="C43" s="23" t="s">
        <v>145</v>
      </c>
      <c r="D43" s="19" t="s">
        <v>24</v>
      </c>
      <c r="E43" s="23" t="s">
        <v>291</v>
      </c>
      <c r="F43" s="29" t="n">
        <v>1</v>
      </c>
      <c r="G43" s="36" t="s">
        <v>150</v>
      </c>
      <c r="H43" s="37" t="s">
        <v>154</v>
      </c>
      <c r="I43" s="38" t="s">
        <v>147</v>
      </c>
    </row>
    <row r="44" customFormat="false" ht="49.5" hidden="false" customHeight="true" outlineLevel="0" collapsed="false">
      <c r="A44" s="19" t="s">
        <v>144</v>
      </c>
      <c r="B44" s="39" t="s">
        <v>28</v>
      </c>
      <c r="C44" s="23" t="s">
        <v>145</v>
      </c>
      <c r="D44" s="19" t="s">
        <v>25</v>
      </c>
      <c r="E44" s="23" t="s">
        <v>292</v>
      </c>
      <c r="F44" s="22" t="n">
        <v>3</v>
      </c>
      <c r="G44" s="36" t="s">
        <v>151</v>
      </c>
      <c r="H44" s="37" t="s">
        <v>155</v>
      </c>
      <c r="I44" s="38" t="s">
        <v>147</v>
      </c>
    </row>
    <row r="45" customFormat="false" ht="49.5" hidden="false" customHeight="true" outlineLevel="0" collapsed="false">
      <c r="A45" s="19" t="s">
        <v>156</v>
      </c>
      <c r="B45" s="39" t="s">
        <v>28</v>
      </c>
      <c r="C45" s="23" t="s">
        <v>157</v>
      </c>
      <c r="D45" s="19" t="s">
        <v>22</v>
      </c>
      <c r="E45" s="23" t="s">
        <v>289</v>
      </c>
      <c r="F45" s="30" t="n">
        <v>0</v>
      </c>
      <c r="G45" s="36" t="s">
        <v>160</v>
      </c>
      <c r="H45" s="37" t="s">
        <v>162</v>
      </c>
      <c r="I45" s="38" t="s">
        <v>159</v>
      </c>
    </row>
    <row r="46" customFormat="false" ht="49.5" hidden="false" customHeight="true" outlineLevel="0" collapsed="false">
      <c r="A46" s="19" t="s">
        <v>156</v>
      </c>
      <c r="B46" s="39" t="s">
        <v>28</v>
      </c>
      <c r="C46" s="23" t="s">
        <v>157</v>
      </c>
      <c r="D46" s="19" t="s">
        <v>23</v>
      </c>
      <c r="E46" s="23" t="s">
        <v>290</v>
      </c>
      <c r="F46" s="21" t="n">
        <v>2</v>
      </c>
      <c r="G46" s="36" t="s">
        <v>92</v>
      </c>
      <c r="H46" s="37" t="s">
        <v>163</v>
      </c>
      <c r="I46" s="38" t="s">
        <v>159</v>
      </c>
    </row>
    <row r="47" customFormat="false" ht="49.5" hidden="false" customHeight="true" outlineLevel="0" collapsed="false">
      <c r="A47" s="19" t="s">
        <v>156</v>
      </c>
      <c r="B47" s="39" t="s">
        <v>28</v>
      </c>
      <c r="C47" s="23" t="s">
        <v>157</v>
      </c>
      <c r="D47" s="19" t="s">
        <v>24</v>
      </c>
      <c r="E47" s="23" t="s">
        <v>291</v>
      </c>
      <c r="F47" s="22" t="n">
        <v>3</v>
      </c>
      <c r="G47" s="36" t="s">
        <v>161</v>
      </c>
      <c r="H47" s="37" t="s">
        <v>164</v>
      </c>
      <c r="I47" s="38" t="s">
        <v>159</v>
      </c>
    </row>
    <row r="48" customFormat="false" ht="49.5" hidden="false" customHeight="true" outlineLevel="0" collapsed="false">
      <c r="A48" s="19" t="s">
        <v>156</v>
      </c>
      <c r="B48" s="39" t="s">
        <v>28</v>
      </c>
      <c r="C48" s="23" t="s">
        <v>157</v>
      </c>
      <c r="D48" s="19" t="s">
        <v>25</v>
      </c>
      <c r="E48" s="23" t="s">
        <v>292</v>
      </c>
      <c r="F48" s="21" t="n">
        <v>2</v>
      </c>
      <c r="G48" s="36" t="s">
        <v>151</v>
      </c>
      <c r="H48" s="37" t="s">
        <v>165</v>
      </c>
      <c r="I48" s="38" t="s">
        <v>159</v>
      </c>
    </row>
    <row r="49" customFormat="false" ht="49.5" hidden="false" customHeight="true" outlineLevel="0" collapsed="false">
      <c r="A49" s="19" t="s">
        <v>166</v>
      </c>
      <c r="B49" s="39" t="s">
        <v>28</v>
      </c>
      <c r="C49" s="23" t="s">
        <v>167</v>
      </c>
      <c r="D49" s="19" t="s">
        <v>22</v>
      </c>
      <c r="E49" s="23" t="s">
        <v>289</v>
      </c>
      <c r="F49" s="21" t="n">
        <v>2</v>
      </c>
      <c r="G49" s="36" t="s">
        <v>170</v>
      </c>
      <c r="H49" s="37" t="s">
        <v>174</v>
      </c>
      <c r="I49" s="38" t="s">
        <v>169</v>
      </c>
    </row>
    <row r="50" customFormat="false" ht="49.5" hidden="false" customHeight="true" outlineLevel="0" collapsed="false">
      <c r="A50" s="19" t="s">
        <v>166</v>
      </c>
      <c r="B50" s="39" t="s">
        <v>28</v>
      </c>
      <c r="C50" s="23" t="s">
        <v>167</v>
      </c>
      <c r="D50" s="19" t="s">
        <v>23</v>
      </c>
      <c r="E50" s="23" t="s">
        <v>290</v>
      </c>
      <c r="F50" s="30" t="n">
        <v>0</v>
      </c>
      <c r="G50" s="36" t="s">
        <v>171</v>
      </c>
      <c r="H50" s="37" t="s">
        <v>175</v>
      </c>
      <c r="I50" s="38" t="s">
        <v>169</v>
      </c>
    </row>
    <row r="51" customFormat="false" ht="49.5" hidden="false" customHeight="true" outlineLevel="0" collapsed="false">
      <c r="A51" s="19" t="s">
        <v>166</v>
      </c>
      <c r="B51" s="39" t="s">
        <v>28</v>
      </c>
      <c r="C51" s="23" t="s">
        <v>167</v>
      </c>
      <c r="D51" s="19" t="s">
        <v>24</v>
      </c>
      <c r="E51" s="23" t="s">
        <v>291</v>
      </c>
      <c r="F51" s="30" t="n">
        <v>0</v>
      </c>
      <c r="G51" s="36" t="s">
        <v>172</v>
      </c>
      <c r="H51" s="37" t="s">
        <v>176</v>
      </c>
      <c r="I51" s="38" t="s">
        <v>169</v>
      </c>
    </row>
    <row r="52" customFormat="false" ht="49.5" hidden="false" customHeight="true" outlineLevel="0" collapsed="false">
      <c r="A52" s="19" t="s">
        <v>166</v>
      </c>
      <c r="B52" s="39" t="s">
        <v>28</v>
      </c>
      <c r="C52" s="23" t="s">
        <v>167</v>
      </c>
      <c r="D52" s="19" t="s">
        <v>25</v>
      </c>
      <c r="E52" s="23" t="s">
        <v>292</v>
      </c>
      <c r="F52" s="22" t="n">
        <v>3</v>
      </c>
      <c r="G52" s="36" t="s">
        <v>173</v>
      </c>
      <c r="H52" s="37" t="s">
        <v>177</v>
      </c>
      <c r="I52" s="38" t="s">
        <v>169</v>
      </c>
    </row>
    <row r="53" customFormat="false" ht="49.5" hidden="false" customHeight="true" outlineLevel="0" collapsed="false">
      <c r="A53" s="19" t="s">
        <v>178</v>
      </c>
      <c r="B53" s="39" t="s">
        <v>28</v>
      </c>
      <c r="C53" s="23" t="s">
        <v>179</v>
      </c>
      <c r="D53" s="19" t="s">
        <v>22</v>
      </c>
      <c r="E53" s="23" t="s">
        <v>289</v>
      </c>
      <c r="F53" s="21" t="n">
        <v>2</v>
      </c>
      <c r="G53" s="36" t="s">
        <v>182</v>
      </c>
      <c r="H53" s="37" t="s">
        <v>186</v>
      </c>
      <c r="I53" s="38" t="s">
        <v>181</v>
      </c>
    </row>
    <row r="54" customFormat="false" ht="49.5" hidden="false" customHeight="true" outlineLevel="0" collapsed="false">
      <c r="A54" s="19" t="s">
        <v>178</v>
      </c>
      <c r="B54" s="39" t="s">
        <v>28</v>
      </c>
      <c r="C54" s="23" t="s">
        <v>179</v>
      </c>
      <c r="D54" s="19" t="s">
        <v>23</v>
      </c>
      <c r="E54" s="23" t="s">
        <v>290</v>
      </c>
      <c r="F54" s="30" t="n">
        <v>0</v>
      </c>
      <c r="G54" s="36" t="s">
        <v>183</v>
      </c>
      <c r="H54" s="37" t="s">
        <v>187</v>
      </c>
      <c r="I54" s="38" t="s">
        <v>181</v>
      </c>
    </row>
    <row r="55" customFormat="false" ht="49.5" hidden="false" customHeight="true" outlineLevel="0" collapsed="false">
      <c r="A55" s="19" t="s">
        <v>178</v>
      </c>
      <c r="B55" s="39" t="s">
        <v>28</v>
      </c>
      <c r="C55" s="23" t="s">
        <v>179</v>
      </c>
      <c r="D55" s="19" t="s">
        <v>24</v>
      </c>
      <c r="E55" s="23" t="s">
        <v>291</v>
      </c>
      <c r="F55" s="21" t="n">
        <v>2</v>
      </c>
      <c r="G55" s="36" t="s">
        <v>184</v>
      </c>
      <c r="H55" s="37" t="s">
        <v>186</v>
      </c>
      <c r="I55" s="38" t="s">
        <v>181</v>
      </c>
    </row>
    <row r="56" customFormat="false" ht="49.5" hidden="false" customHeight="true" outlineLevel="0" collapsed="false">
      <c r="A56" s="19" t="s">
        <v>178</v>
      </c>
      <c r="B56" s="39" t="s">
        <v>28</v>
      </c>
      <c r="C56" s="23" t="s">
        <v>179</v>
      </c>
      <c r="D56" s="19" t="s">
        <v>25</v>
      </c>
      <c r="E56" s="23" t="s">
        <v>292</v>
      </c>
      <c r="F56" s="21" t="n">
        <v>2</v>
      </c>
      <c r="G56" s="36" t="s">
        <v>185</v>
      </c>
      <c r="H56" s="37" t="s">
        <v>186</v>
      </c>
      <c r="I56" s="38" t="s">
        <v>181</v>
      </c>
    </row>
    <row r="57" customFormat="false" ht="49.5" hidden="false" customHeight="true" outlineLevel="0" collapsed="false">
      <c r="A57" s="19" t="s">
        <v>188</v>
      </c>
      <c r="B57" s="39" t="s">
        <v>28</v>
      </c>
      <c r="C57" s="23" t="s">
        <v>189</v>
      </c>
      <c r="D57" s="19" t="s">
        <v>22</v>
      </c>
      <c r="E57" s="23" t="s">
        <v>289</v>
      </c>
      <c r="F57" s="29" t="n">
        <v>1</v>
      </c>
      <c r="G57" s="36" t="s">
        <v>192</v>
      </c>
      <c r="H57" s="37" t="s">
        <v>196</v>
      </c>
      <c r="I57" s="38" t="s">
        <v>191</v>
      </c>
    </row>
    <row r="58" customFormat="false" ht="49.5" hidden="false" customHeight="true" outlineLevel="0" collapsed="false">
      <c r="A58" s="19" t="s">
        <v>188</v>
      </c>
      <c r="B58" s="39" t="s">
        <v>28</v>
      </c>
      <c r="C58" s="23" t="s">
        <v>189</v>
      </c>
      <c r="D58" s="19" t="s">
        <v>23</v>
      </c>
      <c r="E58" s="23" t="s">
        <v>290</v>
      </c>
      <c r="F58" s="29" t="n">
        <v>1</v>
      </c>
      <c r="G58" s="36" t="s">
        <v>193</v>
      </c>
      <c r="H58" s="37" t="s">
        <v>197</v>
      </c>
      <c r="I58" s="38" t="s">
        <v>191</v>
      </c>
    </row>
    <row r="59" customFormat="false" ht="49.5" hidden="false" customHeight="true" outlineLevel="0" collapsed="false">
      <c r="A59" s="19" t="s">
        <v>188</v>
      </c>
      <c r="B59" s="39" t="s">
        <v>28</v>
      </c>
      <c r="C59" s="23" t="s">
        <v>189</v>
      </c>
      <c r="D59" s="19" t="s">
        <v>24</v>
      </c>
      <c r="E59" s="23" t="s">
        <v>291</v>
      </c>
      <c r="F59" s="21" t="n">
        <v>2</v>
      </c>
      <c r="G59" s="36" t="s">
        <v>194</v>
      </c>
      <c r="H59" s="37" t="s">
        <v>198</v>
      </c>
      <c r="I59" s="38" t="s">
        <v>191</v>
      </c>
    </row>
    <row r="60" customFormat="false" ht="49.5" hidden="false" customHeight="true" outlineLevel="0" collapsed="false">
      <c r="A60" s="19" t="s">
        <v>188</v>
      </c>
      <c r="B60" s="39" t="s">
        <v>28</v>
      </c>
      <c r="C60" s="23" t="s">
        <v>189</v>
      </c>
      <c r="D60" s="19" t="s">
        <v>25</v>
      </c>
      <c r="E60" s="23" t="s">
        <v>292</v>
      </c>
      <c r="F60" s="22" t="n">
        <v>3</v>
      </c>
      <c r="G60" s="36" t="s">
        <v>195</v>
      </c>
      <c r="H60" s="37" t="s">
        <v>199</v>
      </c>
      <c r="I60" s="38" t="s">
        <v>191</v>
      </c>
    </row>
    <row r="61" customFormat="false" ht="49.5" hidden="false" customHeight="true" outlineLevel="0" collapsed="false">
      <c r="A61" s="19" t="s">
        <v>200</v>
      </c>
      <c r="B61" s="39" t="s">
        <v>28</v>
      </c>
      <c r="C61" s="23" t="s">
        <v>201</v>
      </c>
      <c r="D61" s="19" t="s">
        <v>22</v>
      </c>
      <c r="E61" s="23" t="s">
        <v>289</v>
      </c>
      <c r="F61" s="21" t="n">
        <v>2</v>
      </c>
      <c r="G61" s="36" t="s">
        <v>204</v>
      </c>
      <c r="H61" s="37" t="s">
        <v>208</v>
      </c>
      <c r="I61" s="38" t="s">
        <v>203</v>
      </c>
    </row>
    <row r="62" customFormat="false" ht="49.5" hidden="false" customHeight="true" outlineLevel="0" collapsed="false">
      <c r="A62" s="19" t="s">
        <v>200</v>
      </c>
      <c r="B62" s="39" t="s">
        <v>28</v>
      </c>
      <c r="C62" s="23" t="s">
        <v>201</v>
      </c>
      <c r="D62" s="19" t="s">
        <v>23</v>
      </c>
      <c r="E62" s="23" t="s">
        <v>290</v>
      </c>
      <c r="F62" s="21" t="n">
        <v>2</v>
      </c>
      <c r="G62" s="36" t="s">
        <v>205</v>
      </c>
      <c r="H62" s="37" t="s">
        <v>209</v>
      </c>
      <c r="I62" s="38" t="s">
        <v>203</v>
      </c>
    </row>
    <row r="63" customFormat="false" ht="49.5" hidden="false" customHeight="true" outlineLevel="0" collapsed="false">
      <c r="A63" s="19" t="s">
        <v>200</v>
      </c>
      <c r="B63" s="39" t="s">
        <v>28</v>
      </c>
      <c r="C63" s="23" t="s">
        <v>201</v>
      </c>
      <c r="D63" s="19" t="s">
        <v>24</v>
      </c>
      <c r="E63" s="23" t="s">
        <v>291</v>
      </c>
      <c r="F63" s="21" t="n">
        <v>2</v>
      </c>
      <c r="G63" s="36" t="s">
        <v>206</v>
      </c>
      <c r="H63" s="37" t="s">
        <v>210</v>
      </c>
      <c r="I63" s="38" t="s">
        <v>203</v>
      </c>
    </row>
    <row r="64" customFormat="false" ht="49.5" hidden="false" customHeight="true" outlineLevel="0" collapsed="false">
      <c r="A64" s="19" t="s">
        <v>200</v>
      </c>
      <c r="B64" s="39" t="s">
        <v>28</v>
      </c>
      <c r="C64" s="23" t="s">
        <v>201</v>
      </c>
      <c r="D64" s="19" t="s">
        <v>25</v>
      </c>
      <c r="E64" s="23" t="s">
        <v>292</v>
      </c>
      <c r="F64" s="21" t="n">
        <v>2</v>
      </c>
      <c r="G64" s="36" t="s">
        <v>207</v>
      </c>
      <c r="H64" s="37" t="s">
        <v>211</v>
      </c>
      <c r="I64" s="38" t="s">
        <v>203</v>
      </c>
    </row>
    <row r="65" customFormat="false" ht="49.5" hidden="false" customHeight="true" outlineLevel="0" collapsed="false">
      <c r="A65" s="19" t="s">
        <v>215</v>
      </c>
      <c r="B65" s="40" t="s">
        <v>29</v>
      </c>
      <c r="C65" s="23" t="s">
        <v>216</v>
      </c>
      <c r="D65" s="19" t="s">
        <v>22</v>
      </c>
      <c r="E65" s="23" t="s">
        <v>289</v>
      </c>
      <c r="F65" s="30" t="n">
        <v>0</v>
      </c>
      <c r="G65" s="36" t="s">
        <v>219</v>
      </c>
      <c r="H65" s="37" t="s">
        <v>221</v>
      </c>
      <c r="I65" s="38" t="s">
        <v>218</v>
      </c>
    </row>
    <row r="66" customFormat="false" ht="49.5" hidden="false" customHeight="true" outlineLevel="0" collapsed="false">
      <c r="A66" s="19" t="s">
        <v>215</v>
      </c>
      <c r="B66" s="40" t="s">
        <v>29</v>
      </c>
      <c r="C66" s="23" t="s">
        <v>216</v>
      </c>
      <c r="D66" s="19" t="s">
        <v>23</v>
      </c>
      <c r="E66" s="23" t="s">
        <v>290</v>
      </c>
      <c r="F66" s="30" t="n">
        <v>0</v>
      </c>
      <c r="G66" s="36" t="s">
        <v>219</v>
      </c>
      <c r="H66" s="37" t="s">
        <v>221</v>
      </c>
      <c r="I66" s="38" t="s">
        <v>218</v>
      </c>
    </row>
    <row r="67" customFormat="false" ht="49.5" hidden="false" customHeight="true" outlineLevel="0" collapsed="false">
      <c r="A67" s="19" t="s">
        <v>215</v>
      </c>
      <c r="B67" s="40" t="s">
        <v>29</v>
      </c>
      <c r="C67" s="23" t="s">
        <v>216</v>
      </c>
      <c r="D67" s="19" t="s">
        <v>24</v>
      </c>
      <c r="E67" s="23" t="s">
        <v>291</v>
      </c>
      <c r="F67" s="30" t="n">
        <v>0</v>
      </c>
      <c r="G67" s="36" t="s">
        <v>219</v>
      </c>
      <c r="H67" s="37" t="s">
        <v>222</v>
      </c>
      <c r="I67" s="38" t="s">
        <v>218</v>
      </c>
    </row>
    <row r="68" customFormat="false" ht="49.5" hidden="false" customHeight="true" outlineLevel="0" collapsed="false">
      <c r="A68" s="19" t="s">
        <v>215</v>
      </c>
      <c r="B68" s="40" t="s">
        <v>29</v>
      </c>
      <c r="C68" s="23" t="s">
        <v>216</v>
      </c>
      <c r="D68" s="19" t="s">
        <v>25</v>
      </c>
      <c r="E68" s="23" t="s">
        <v>292</v>
      </c>
      <c r="F68" s="21" t="n">
        <v>2</v>
      </c>
      <c r="G68" s="36" t="s">
        <v>220</v>
      </c>
      <c r="H68" s="37" t="s">
        <v>223</v>
      </c>
      <c r="I68" s="38" t="s">
        <v>218</v>
      </c>
    </row>
    <row r="69" customFormat="false" ht="49.5" hidden="false" customHeight="true" outlineLevel="0" collapsed="false">
      <c r="A69" s="19" t="s">
        <v>224</v>
      </c>
      <c r="B69" s="40" t="s">
        <v>29</v>
      </c>
      <c r="C69" s="23" t="s">
        <v>225</v>
      </c>
      <c r="D69" s="19" t="s">
        <v>22</v>
      </c>
      <c r="E69" s="23" t="s">
        <v>289</v>
      </c>
      <c r="F69" s="30" t="n">
        <v>0</v>
      </c>
      <c r="G69" s="36" t="s">
        <v>228</v>
      </c>
      <c r="H69" s="37" t="s">
        <v>232</v>
      </c>
      <c r="I69" s="38" t="s">
        <v>227</v>
      </c>
    </row>
    <row r="70" customFormat="false" ht="49.5" hidden="false" customHeight="true" outlineLevel="0" collapsed="false">
      <c r="A70" s="19" t="s">
        <v>224</v>
      </c>
      <c r="B70" s="40" t="s">
        <v>29</v>
      </c>
      <c r="C70" s="23" t="s">
        <v>225</v>
      </c>
      <c r="D70" s="19" t="s">
        <v>23</v>
      </c>
      <c r="E70" s="23" t="s">
        <v>290</v>
      </c>
      <c r="F70" s="30" t="n">
        <v>0</v>
      </c>
      <c r="G70" s="36" t="s">
        <v>229</v>
      </c>
      <c r="H70" s="37" t="s">
        <v>232</v>
      </c>
      <c r="I70" s="38" t="s">
        <v>227</v>
      </c>
    </row>
    <row r="71" customFormat="false" ht="49.5" hidden="false" customHeight="true" outlineLevel="0" collapsed="false">
      <c r="A71" s="19" t="s">
        <v>224</v>
      </c>
      <c r="B71" s="40" t="s">
        <v>29</v>
      </c>
      <c r="C71" s="23" t="s">
        <v>225</v>
      </c>
      <c r="D71" s="19" t="s">
        <v>24</v>
      </c>
      <c r="E71" s="23" t="s">
        <v>291</v>
      </c>
      <c r="F71" s="30" t="n">
        <v>0</v>
      </c>
      <c r="G71" s="36" t="s">
        <v>230</v>
      </c>
      <c r="H71" s="37" t="s">
        <v>233</v>
      </c>
      <c r="I71" s="38" t="s">
        <v>227</v>
      </c>
    </row>
    <row r="72" customFormat="false" ht="49.5" hidden="false" customHeight="true" outlineLevel="0" collapsed="false">
      <c r="A72" s="19" t="s">
        <v>224</v>
      </c>
      <c r="B72" s="40" t="s">
        <v>29</v>
      </c>
      <c r="C72" s="23" t="s">
        <v>225</v>
      </c>
      <c r="D72" s="19" t="s">
        <v>25</v>
      </c>
      <c r="E72" s="23" t="s">
        <v>292</v>
      </c>
      <c r="F72" s="30" t="n">
        <v>0</v>
      </c>
      <c r="G72" s="36" t="s">
        <v>231</v>
      </c>
      <c r="H72" s="37" t="s">
        <v>234</v>
      </c>
      <c r="I72" s="38" t="s">
        <v>227</v>
      </c>
    </row>
    <row r="73" customFormat="false" ht="49.5" hidden="false" customHeight="true" outlineLevel="0" collapsed="false">
      <c r="A73" s="19" t="s">
        <v>235</v>
      </c>
      <c r="B73" s="40" t="s">
        <v>29</v>
      </c>
      <c r="C73" s="23" t="s">
        <v>236</v>
      </c>
      <c r="D73" s="19" t="s">
        <v>22</v>
      </c>
      <c r="E73" s="23" t="s">
        <v>289</v>
      </c>
      <c r="F73" s="30" t="n">
        <v>0</v>
      </c>
      <c r="G73" s="36" t="s">
        <v>219</v>
      </c>
      <c r="H73" s="37" t="s">
        <v>239</v>
      </c>
      <c r="I73" s="38" t="s">
        <v>227</v>
      </c>
    </row>
    <row r="74" customFormat="false" ht="49.5" hidden="false" customHeight="true" outlineLevel="0" collapsed="false">
      <c r="A74" s="19" t="s">
        <v>235</v>
      </c>
      <c r="B74" s="40" t="s">
        <v>29</v>
      </c>
      <c r="C74" s="23" t="s">
        <v>236</v>
      </c>
      <c r="D74" s="19" t="s">
        <v>23</v>
      </c>
      <c r="E74" s="23" t="s">
        <v>290</v>
      </c>
      <c r="F74" s="30" t="n">
        <v>0</v>
      </c>
      <c r="G74" s="36" t="s">
        <v>219</v>
      </c>
      <c r="H74" s="37" t="s">
        <v>239</v>
      </c>
      <c r="I74" s="38" t="s">
        <v>227</v>
      </c>
    </row>
    <row r="75" customFormat="false" ht="49.5" hidden="false" customHeight="true" outlineLevel="0" collapsed="false">
      <c r="A75" s="19" t="s">
        <v>235</v>
      </c>
      <c r="B75" s="40" t="s">
        <v>29</v>
      </c>
      <c r="C75" s="23" t="s">
        <v>236</v>
      </c>
      <c r="D75" s="19" t="s">
        <v>24</v>
      </c>
      <c r="E75" s="23" t="s">
        <v>291</v>
      </c>
      <c r="F75" s="30" t="n">
        <v>0</v>
      </c>
      <c r="G75" s="36" t="s">
        <v>219</v>
      </c>
      <c r="H75" s="37" t="s">
        <v>239</v>
      </c>
      <c r="I75" s="38" t="s">
        <v>227</v>
      </c>
    </row>
    <row r="76" customFormat="false" ht="49.5" hidden="false" customHeight="true" outlineLevel="0" collapsed="false">
      <c r="A76" s="19" t="s">
        <v>235</v>
      </c>
      <c r="B76" s="40" t="s">
        <v>29</v>
      </c>
      <c r="C76" s="23" t="s">
        <v>236</v>
      </c>
      <c r="D76" s="19" t="s">
        <v>25</v>
      </c>
      <c r="E76" s="23" t="s">
        <v>292</v>
      </c>
      <c r="F76" s="21" t="n">
        <v>2</v>
      </c>
      <c r="G76" s="36" t="s">
        <v>238</v>
      </c>
      <c r="H76" s="37" t="s">
        <v>240</v>
      </c>
      <c r="I76" s="38" t="s">
        <v>227</v>
      </c>
    </row>
    <row r="77" customFormat="false" ht="49.5" hidden="false" customHeight="true" outlineLevel="0" collapsed="false">
      <c r="A77" s="19" t="s">
        <v>241</v>
      </c>
      <c r="B77" s="40" t="s">
        <v>29</v>
      </c>
      <c r="C77" s="23" t="s">
        <v>242</v>
      </c>
      <c r="D77" s="19" t="s">
        <v>22</v>
      </c>
      <c r="E77" s="23" t="s">
        <v>289</v>
      </c>
      <c r="F77" s="30" t="n">
        <v>0</v>
      </c>
      <c r="G77" s="36" t="s">
        <v>219</v>
      </c>
      <c r="H77" s="37" t="s">
        <v>247</v>
      </c>
      <c r="I77" s="38" t="s">
        <v>244</v>
      </c>
    </row>
    <row r="78" customFormat="false" ht="49.5" hidden="false" customHeight="true" outlineLevel="0" collapsed="false">
      <c r="A78" s="19" t="s">
        <v>241</v>
      </c>
      <c r="B78" s="40" t="s">
        <v>29</v>
      </c>
      <c r="C78" s="23" t="s">
        <v>242</v>
      </c>
      <c r="D78" s="19" t="s">
        <v>23</v>
      </c>
      <c r="E78" s="23" t="s">
        <v>290</v>
      </c>
      <c r="F78" s="29" t="n">
        <v>1</v>
      </c>
      <c r="G78" s="36" t="s">
        <v>245</v>
      </c>
      <c r="H78" s="37" t="s">
        <v>248</v>
      </c>
      <c r="I78" s="38" t="s">
        <v>244</v>
      </c>
    </row>
    <row r="79" customFormat="false" ht="49.5" hidden="false" customHeight="true" outlineLevel="0" collapsed="false">
      <c r="A79" s="19" t="s">
        <v>241</v>
      </c>
      <c r="B79" s="40" t="s">
        <v>29</v>
      </c>
      <c r="C79" s="23" t="s">
        <v>242</v>
      </c>
      <c r="D79" s="19" t="s">
        <v>24</v>
      </c>
      <c r="E79" s="23" t="s">
        <v>291</v>
      </c>
      <c r="F79" s="29" t="n">
        <v>1</v>
      </c>
      <c r="G79" s="36" t="s">
        <v>246</v>
      </c>
      <c r="H79" s="37" t="s">
        <v>249</v>
      </c>
      <c r="I79" s="38" t="s">
        <v>244</v>
      </c>
    </row>
    <row r="80" customFormat="false" ht="49.5" hidden="false" customHeight="true" outlineLevel="0" collapsed="false">
      <c r="A80" s="19" t="s">
        <v>241</v>
      </c>
      <c r="B80" s="40" t="s">
        <v>29</v>
      </c>
      <c r="C80" s="23" t="s">
        <v>242</v>
      </c>
      <c r="D80" s="19" t="s">
        <v>25</v>
      </c>
      <c r="E80" s="23" t="s">
        <v>292</v>
      </c>
      <c r="F80" s="30" t="n">
        <v>0</v>
      </c>
      <c r="G80" s="36" t="s">
        <v>219</v>
      </c>
      <c r="H80" s="37" t="s">
        <v>247</v>
      </c>
      <c r="I80" s="38" t="s">
        <v>244</v>
      </c>
    </row>
    <row r="81" customFormat="false" ht="49.5" hidden="false" customHeight="true" outlineLevel="0" collapsed="false">
      <c r="A81" s="19" t="s">
        <v>250</v>
      </c>
      <c r="B81" s="40" t="s">
        <v>29</v>
      </c>
      <c r="C81" s="23" t="s">
        <v>251</v>
      </c>
      <c r="D81" s="19" t="s">
        <v>22</v>
      </c>
      <c r="E81" s="23" t="s">
        <v>289</v>
      </c>
      <c r="F81" s="21" t="n">
        <v>2</v>
      </c>
      <c r="G81" s="36" t="s">
        <v>254</v>
      </c>
      <c r="H81" s="37" t="s">
        <v>257</v>
      </c>
      <c r="I81" s="38" t="s">
        <v>253</v>
      </c>
    </row>
    <row r="82" customFormat="false" ht="49.5" hidden="false" customHeight="true" outlineLevel="0" collapsed="false">
      <c r="A82" s="19" t="s">
        <v>250</v>
      </c>
      <c r="B82" s="40" t="s">
        <v>29</v>
      </c>
      <c r="C82" s="23" t="s">
        <v>251</v>
      </c>
      <c r="D82" s="19" t="s">
        <v>23</v>
      </c>
      <c r="E82" s="23" t="s">
        <v>290</v>
      </c>
      <c r="F82" s="22" t="n">
        <v>3</v>
      </c>
      <c r="G82" s="36" t="s">
        <v>229</v>
      </c>
      <c r="H82" s="37" t="s">
        <v>258</v>
      </c>
      <c r="I82" s="38" t="s">
        <v>253</v>
      </c>
    </row>
    <row r="83" customFormat="false" ht="49.5" hidden="false" customHeight="true" outlineLevel="0" collapsed="false">
      <c r="A83" s="19" t="s">
        <v>250</v>
      </c>
      <c r="B83" s="40" t="s">
        <v>29</v>
      </c>
      <c r="C83" s="23" t="s">
        <v>251</v>
      </c>
      <c r="D83" s="19" t="s">
        <v>24</v>
      </c>
      <c r="E83" s="23" t="s">
        <v>291</v>
      </c>
      <c r="F83" s="21" t="n">
        <v>2</v>
      </c>
      <c r="G83" s="36" t="s">
        <v>255</v>
      </c>
      <c r="H83" s="37" t="s">
        <v>257</v>
      </c>
      <c r="I83" s="38" t="s">
        <v>253</v>
      </c>
    </row>
    <row r="84" customFormat="false" ht="49.5" hidden="false" customHeight="true" outlineLevel="0" collapsed="false">
      <c r="A84" s="19" t="s">
        <v>250</v>
      </c>
      <c r="B84" s="40" t="s">
        <v>29</v>
      </c>
      <c r="C84" s="23" t="s">
        <v>251</v>
      </c>
      <c r="D84" s="19" t="s">
        <v>25</v>
      </c>
      <c r="E84" s="23" t="s">
        <v>292</v>
      </c>
      <c r="F84" s="21" t="n">
        <v>2</v>
      </c>
      <c r="G84" s="36" t="s">
        <v>256</v>
      </c>
      <c r="H84" s="37" t="s">
        <v>257</v>
      </c>
      <c r="I84" s="38" t="s">
        <v>253</v>
      </c>
    </row>
    <row r="85" customFormat="false" ht="49.5" hidden="false" customHeight="true" outlineLevel="0" collapsed="false">
      <c r="A85" s="19" t="s">
        <v>259</v>
      </c>
      <c r="B85" s="40" t="s">
        <v>29</v>
      </c>
      <c r="C85" s="23" t="s">
        <v>260</v>
      </c>
      <c r="D85" s="19" t="s">
        <v>22</v>
      </c>
      <c r="E85" s="23" t="s">
        <v>289</v>
      </c>
      <c r="F85" s="29" t="n">
        <v>1</v>
      </c>
      <c r="G85" s="36" t="s">
        <v>254</v>
      </c>
      <c r="H85" s="37" t="s">
        <v>263</v>
      </c>
      <c r="I85" s="38" t="s">
        <v>262</v>
      </c>
    </row>
    <row r="86" customFormat="false" ht="49.5" hidden="false" customHeight="true" outlineLevel="0" collapsed="false">
      <c r="A86" s="19" t="s">
        <v>259</v>
      </c>
      <c r="B86" s="40" t="s">
        <v>29</v>
      </c>
      <c r="C86" s="23" t="s">
        <v>260</v>
      </c>
      <c r="D86" s="19" t="s">
        <v>23</v>
      </c>
      <c r="E86" s="23" t="s">
        <v>290</v>
      </c>
      <c r="F86" s="22" t="n">
        <v>3</v>
      </c>
      <c r="G86" s="36" t="s">
        <v>229</v>
      </c>
      <c r="H86" s="37" t="s">
        <v>264</v>
      </c>
      <c r="I86" s="38" t="s">
        <v>262</v>
      </c>
    </row>
    <row r="87" customFormat="false" ht="49.5" hidden="false" customHeight="true" outlineLevel="0" collapsed="false">
      <c r="A87" s="19" t="s">
        <v>259</v>
      </c>
      <c r="B87" s="40" t="s">
        <v>29</v>
      </c>
      <c r="C87" s="23" t="s">
        <v>260</v>
      </c>
      <c r="D87" s="19" t="s">
        <v>24</v>
      </c>
      <c r="E87" s="23" t="s">
        <v>291</v>
      </c>
      <c r="F87" s="29" t="n">
        <v>1</v>
      </c>
      <c r="G87" s="36" t="s">
        <v>255</v>
      </c>
      <c r="H87" s="37" t="s">
        <v>263</v>
      </c>
      <c r="I87" s="38" t="s">
        <v>262</v>
      </c>
    </row>
    <row r="88" customFormat="false" ht="49.5" hidden="false" customHeight="true" outlineLevel="0" collapsed="false">
      <c r="A88" s="19" t="s">
        <v>259</v>
      </c>
      <c r="B88" s="40" t="s">
        <v>29</v>
      </c>
      <c r="C88" s="23" t="s">
        <v>260</v>
      </c>
      <c r="D88" s="19" t="s">
        <v>25</v>
      </c>
      <c r="E88" s="23" t="s">
        <v>292</v>
      </c>
      <c r="F88" s="29" t="n">
        <v>1</v>
      </c>
      <c r="G88" s="36" t="s">
        <v>256</v>
      </c>
      <c r="H88" s="37" t="s">
        <v>263</v>
      </c>
      <c r="I88" s="38" t="s">
        <v>262</v>
      </c>
    </row>
    <row r="89" customFormat="false" ht="49.5" hidden="false" customHeight="true" outlineLevel="0" collapsed="false">
      <c r="A89" s="19" t="s">
        <v>265</v>
      </c>
      <c r="B89" s="40" t="s">
        <v>29</v>
      </c>
      <c r="C89" s="23" t="s">
        <v>266</v>
      </c>
      <c r="D89" s="19" t="s">
        <v>22</v>
      </c>
      <c r="E89" s="23" t="s">
        <v>289</v>
      </c>
      <c r="F89" s="29" t="n">
        <v>1</v>
      </c>
      <c r="G89" s="36" t="s">
        <v>269</v>
      </c>
      <c r="H89" s="37" t="s">
        <v>273</v>
      </c>
      <c r="I89" s="38" t="s">
        <v>268</v>
      </c>
    </row>
    <row r="90" customFormat="false" ht="49.5" hidden="false" customHeight="true" outlineLevel="0" collapsed="false">
      <c r="A90" s="19" t="s">
        <v>265</v>
      </c>
      <c r="B90" s="40" t="s">
        <v>29</v>
      </c>
      <c r="C90" s="23" t="s">
        <v>266</v>
      </c>
      <c r="D90" s="19" t="s">
        <v>23</v>
      </c>
      <c r="E90" s="23" t="s">
        <v>290</v>
      </c>
      <c r="F90" s="30" t="n">
        <v>0</v>
      </c>
      <c r="G90" s="36" t="s">
        <v>270</v>
      </c>
      <c r="H90" s="37" t="s">
        <v>274</v>
      </c>
      <c r="I90" s="38" t="s">
        <v>268</v>
      </c>
    </row>
    <row r="91" customFormat="false" ht="49.5" hidden="false" customHeight="true" outlineLevel="0" collapsed="false">
      <c r="A91" s="19" t="s">
        <v>265</v>
      </c>
      <c r="B91" s="40" t="s">
        <v>29</v>
      </c>
      <c r="C91" s="23" t="s">
        <v>266</v>
      </c>
      <c r="D91" s="19" t="s">
        <v>24</v>
      </c>
      <c r="E91" s="23" t="s">
        <v>291</v>
      </c>
      <c r="F91" s="29" t="n">
        <v>1</v>
      </c>
      <c r="G91" s="36" t="s">
        <v>271</v>
      </c>
      <c r="H91" s="37" t="s">
        <v>275</v>
      </c>
      <c r="I91" s="38" t="s">
        <v>268</v>
      </c>
    </row>
    <row r="92" customFormat="false" ht="49.5" hidden="false" customHeight="true" outlineLevel="0" collapsed="false">
      <c r="A92" s="19" t="s">
        <v>265</v>
      </c>
      <c r="B92" s="40" t="s">
        <v>29</v>
      </c>
      <c r="C92" s="23" t="s">
        <v>266</v>
      </c>
      <c r="D92" s="19" t="s">
        <v>25</v>
      </c>
      <c r="E92" s="23" t="s">
        <v>292</v>
      </c>
      <c r="F92" s="22" t="n">
        <v>3</v>
      </c>
      <c r="G92" s="36" t="s">
        <v>272</v>
      </c>
      <c r="H92" s="37" t="s">
        <v>276</v>
      </c>
      <c r="I92" s="38" t="s">
        <v>268</v>
      </c>
    </row>
  </sheetData>
  <autoFilter ref="A4:I92"/>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50"/>
    <col collapsed="false" customWidth="true" hidden="false" outlineLevel="0" max="4" min="4" style="0" width="40"/>
    <col collapsed="false" customWidth="true" hidden="false" outlineLevel="0" max="5" min="5" style="0" width="70"/>
  </cols>
  <sheetData>
    <row r="2" customFormat="false" ht="19.7" hidden="false" customHeight="false" outlineLevel="0" collapsed="false">
      <c r="B2" s="41" t="s">
        <v>293</v>
      </c>
    </row>
    <row r="4" customFormat="false" ht="24" hidden="false" customHeight="true" outlineLevel="0" collapsed="false">
      <c r="B4" s="8" t="s">
        <v>294</v>
      </c>
      <c r="C4" s="8" t="s">
        <v>295</v>
      </c>
      <c r="D4" s="8" t="s">
        <v>296</v>
      </c>
      <c r="E4" s="8" t="s">
        <v>297</v>
      </c>
    </row>
    <row r="5" customFormat="false" ht="30" hidden="false" customHeight="true" outlineLevel="0" collapsed="false">
      <c r="B5" s="42" t="n">
        <v>1</v>
      </c>
      <c r="C5" s="23" t="s">
        <v>298</v>
      </c>
      <c r="D5" s="23" t="s">
        <v>299</v>
      </c>
      <c r="E5" s="43" t="s">
        <v>300</v>
      </c>
    </row>
    <row r="6" customFormat="false" ht="30" hidden="false" customHeight="true" outlineLevel="0" collapsed="false">
      <c r="B6" s="42" t="n">
        <v>2</v>
      </c>
      <c r="C6" s="23" t="s">
        <v>301</v>
      </c>
      <c r="D6" s="23" t="s">
        <v>302</v>
      </c>
      <c r="E6" s="43" t="s">
        <v>303</v>
      </c>
    </row>
    <row r="7" customFormat="false" ht="30" hidden="false" customHeight="true" outlineLevel="0" collapsed="false">
      <c r="B7" s="42" t="n">
        <v>3</v>
      </c>
      <c r="C7" s="23" t="s">
        <v>304</v>
      </c>
      <c r="D7" s="23" t="s">
        <v>305</v>
      </c>
      <c r="E7" s="43" t="s">
        <v>306</v>
      </c>
    </row>
    <row r="8" customFormat="false" ht="30" hidden="false" customHeight="true" outlineLevel="0" collapsed="false">
      <c r="B8" s="42" t="n">
        <v>4</v>
      </c>
      <c r="C8" s="23" t="s">
        <v>307</v>
      </c>
      <c r="D8" s="23" t="s">
        <v>308</v>
      </c>
      <c r="E8" s="43" t="s">
        <v>309</v>
      </c>
    </row>
    <row r="9" customFormat="false" ht="30" hidden="false" customHeight="true" outlineLevel="0" collapsed="false">
      <c r="B9" s="42" t="n">
        <v>5</v>
      </c>
      <c r="C9" s="23" t="s">
        <v>310</v>
      </c>
      <c r="D9" s="23" t="s">
        <v>311</v>
      </c>
      <c r="E9" s="43" t="s">
        <v>312</v>
      </c>
    </row>
    <row r="10" customFormat="false" ht="30" hidden="false" customHeight="true" outlineLevel="0" collapsed="false">
      <c r="B10" s="42" t="n">
        <v>6</v>
      </c>
      <c r="C10" s="23" t="s">
        <v>313</v>
      </c>
      <c r="D10" s="23" t="s">
        <v>314</v>
      </c>
      <c r="E10" s="43" t="s">
        <v>315</v>
      </c>
    </row>
    <row r="11" customFormat="false" ht="30" hidden="false" customHeight="true" outlineLevel="0" collapsed="false">
      <c r="B11" s="42" t="n">
        <v>7</v>
      </c>
      <c r="C11" s="23" t="s">
        <v>316</v>
      </c>
      <c r="D11" s="23" t="s">
        <v>317</v>
      </c>
      <c r="E11" s="43" t="s">
        <v>318</v>
      </c>
    </row>
    <row r="12" customFormat="false" ht="30" hidden="false" customHeight="true" outlineLevel="0" collapsed="false">
      <c r="B12" s="42" t="n">
        <v>8</v>
      </c>
      <c r="C12" s="23" t="s">
        <v>319</v>
      </c>
      <c r="D12" s="23" t="s">
        <v>320</v>
      </c>
      <c r="E12" s="43" t="s">
        <v>321</v>
      </c>
    </row>
    <row r="13" customFormat="false" ht="30" hidden="false" customHeight="true" outlineLevel="0" collapsed="false">
      <c r="B13" s="42" t="n">
        <v>9</v>
      </c>
      <c r="C13" s="23" t="s">
        <v>322</v>
      </c>
      <c r="D13" s="23" t="s">
        <v>323</v>
      </c>
      <c r="E13" s="43" t="s">
        <v>324</v>
      </c>
    </row>
    <row r="14" customFormat="false" ht="30" hidden="false" customHeight="true" outlineLevel="0" collapsed="false">
      <c r="B14" s="42" t="n">
        <v>10</v>
      </c>
      <c r="C14" s="23" t="s">
        <v>325</v>
      </c>
      <c r="D14" s="23" t="s">
        <v>326</v>
      </c>
      <c r="E14" s="43" t="s">
        <v>327</v>
      </c>
    </row>
    <row r="15" customFormat="false" ht="30" hidden="false" customHeight="true" outlineLevel="0" collapsed="false">
      <c r="B15" s="42" t="n">
        <v>11</v>
      </c>
      <c r="C15" s="23" t="s">
        <v>328</v>
      </c>
      <c r="D15" s="23" t="s">
        <v>329</v>
      </c>
      <c r="E15" s="43" t="s">
        <v>330</v>
      </c>
    </row>
    <row r="16" customFormat="false" ht="30" hidden="false" customHeight="true" outlineLevel="0" collapsed="false">
      <c r="B16" s="42" t="n">
        <v>12</v>
      </c>
      <c r="C16" s="23" t="s">
        <v>331</v>
      </c>
      <c r="D16" s="23" t="s">
        <v>332</v>
      </c>
      <c r="E16" s="43" t="s">
        <v>333</v>
      </c>
    </row>
  </sheetData>
  <hyperlinks>
    <hyperlink ref="E5" r:id="rId1" display="https://50constitutions.org/"/>
    <hyperlink ref="E6" r:id="rId2" display="https://www.scstatehouse.gov/scconstitution/scconst.php"/>
    <hyperlink ref="E7" r:id="rId3" display="https://publications.tnsosfiles.com/pub/2023%20TN%20Constitution.pdf"/>
    <hyperlink ref="E8" r:id="rId4" display="https://statutes.capitol.texas.gov/?link=CN"/>
    <hyperlink ref="E9" r:id="rId5" display="https://le.utah.gov/xcode/constitution.html"/>
    <hyperlink ref="E10" r:id="rId6" display="https://ballotpedia.org/"/>
    <hyperlink ref="E11" r:id="rId7" display="https://www.brennancenter.org/our-work/research-reports/legislative-appointments-judges-lessons-south-carolina-virginia-and-rhode"/>
    <hyperlink ref="E12" r:id="rId8" display="https://www.tncourts.gov/"/>
    <hyperlink ref="E13" r:id="rId9" display="https://www.sentencingproject.org/reports/expanding-the-vote-state-felony-disenfranchisement-reform-1997-2023/"/>
    <hyperlink ref="E14" r:id="rId10" display="https://statecourtreport.org/our-work/analysis-opinion/utah-constitution-distinctively-undistinctive"/>
    <hyperlink ref="E15" r:id="rId11" display="https://statecourtreport.org/our-work/analysis-opinion/tennessee-constitution-least-imperfect-and-most-republican-state"/>
    <hyperlink ref="E16" r:id="rId12" display="https://comparativeconstitutionsproject.org/"/>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2026-05-12T15:59:55Z</dcterms:created>
  <dc:creator>openpyxl</dc:creator>
  <dc:description/>
  <dc:language>en-US</dc:language>
  <cp:lastModifiedBy/>
  <dcterms:modified xsi:type="dcterms:W3CDTF">2026-05-12T15:59:55Z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